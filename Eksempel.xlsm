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2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as.mouritsen\Github\project-lam\"/>
    </mc:Choice>
  </mc:AlternateContent>
  <xr:revisionPtr revIDLastSave="0" documentId="8_{4BED2A4D-5BED-4688-B123-BD3B5124F633}" xr6:coauthVersionLast="47" xr6:coauthVersionMax="47" xr10:uidLastSave="{00000000-0000-0000-0000-000000000000}"/>
  <bookViews>
    <workbookView xWindow="-120" yWindow="-120" windowWidth="29040" windowHeight="15840" tabRatio="698" activeTab="1" xr2:uid="{4948A32C-276B-4ABC-891F-705A25520E88}"/>
  </bookViews>
  <sheets>
    <sheet name="Leje Comps Data" sheetId="18" r:id="rId1"/>
    <sheet name="Boliga" sheetId="19" r:id="rId2"/>
    <sheet name="BoligaOut" sheetId="20" r:id="rId3"/>
    <sheet name="AutoText (2)" sheetId="21" r:id="rId4"/>
  </sheets>
  <functionGroups builtInGroupCount="19"/>
  <definedNames>
    <definedName name="_xlnm._FilterDatabase" localSheetId="1" hidden="1">Boliga!$A$1:$O$1</definedName>
    <definedName name="_xlnm._FilterDatabase" localSheetId="2" hidden="1">BoligaOut!$A$1:$M$1</definedName>
    <definedName name="_xlcn.WorksheetConnection_AutoText2Q2R5811" hidden="1">'AutoText (2)'!$Q$2:$R$584</definedName>
    <definedName name="Aarhus_Ø_Adresser">#REF!</definedName>
    <definedName name="_xlnm.Extract" localSheetId="1">Boliga!#REF!</definedName>
    <definedName name="_xlnm.Extract" localSheetId="2">BoligaOut!#REF!</definedName>
    <definedName name="Numbers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ange" name="Range" connection="WorksheetConnection_AutoText (2)!$Q$2:$R$58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84" i="18" l="1"/>
  <c r="F84" i="18" s="1"/>
  <c r="L83" i="18"/>
  <c r="K83" i="18"/>
  <c r="J83" i="18"/>
  <c r="I83" i="18"/>
  <c r="H83" i="18"/>
  <c r="E83" i="18" s="1"/>
  <c r="G83" i="18"/>
  <c r="F83" i="18"/>
  <c r="K82" i="18"/>
  <c r="J82" i="18"/>
  <c r="H82" i="18"/>
  <c r="E82" i="18" s="1"/>
  <c r="G82" i="18"/>
  <c r="L81" i="18"/>
  <c r="L80" i="18"/>
  <c r="L53" i="18"/>
  <c r="L57" i="18"/>
  <c r="L52" i="18"/>
  <c r="L56" i="18"/>
  <c r="L51" i="18"/>
  <c r="L50" i="18"/>
  <c r="L55" i="18"/>
  <c r="L54" i="18"/>
  <c r="L49" i="18"/>
  <c r="L48" i="18"/>
  <c r="L35" i="18"/>
  <c r="L72" i="18"/>
  <c r="L79" i="18"/>
  <c r="L59" i="18"/>
  <c r="L77" i="18"/>
  <c r="L30" i="18"/>
  <c r="L78" i="18"/>
  <c r="L44" i="18"/>
  <c r="L69" i="18"/>
  <c r="L47" i="18"/>
  <c r="L40" i="18"/>
  <c r="L42" i="18"/>
  <c r="L46" i="18"/>
  <c r="L45" i="18"/>
  <c r="L32" i="18"/>
  <c r="L58" i="18"/>
  <c r="L33" i="18"/>
  <c r="L68" i="18"/>
  <c r="L36" i="18"/>
  <c r="L31" i="18"/>
  <c r="L65" i="18"/>
  <c r="L43" i="18"/>
  <c r="L63" i="18"/>
  <c r="L76" i="18"/>
  <c r="L74" i="18"/>
  <c r="L41" i="18"/>
  <c r="L38" i="18"/>
  <c r="L75" i="18"/>
  <c r="L67" i="18"/>
  <c r="L66" i="18"/>
  <c r="L70" i="18"/>
  <c r="L61" i="18"/>
  <c r="L60" i="18"/>
  <c r="L62" i="18"/>
  <c r="L64" i="18"/>
  <c r="L71" i="18"/>
  <c r="L39" i="18"/>
  <c r="L37" i="18"/>
  <c r="L34" i="18"/>
  <c r="L73" i="18"/>
  <c r="L29" i="18"/>
  <c r="L82" i="18" s="1"/>
  <c r="P29" i="18"/>
  <c r="O29" i="18"/>
  <c r="F82" i="18" s="1"/>
  <c r="F29" i="18"/>
  <c r="P73" i="18"/>
  <c r="O73" i="18"/>
  <c r="F73" i="18"/>
  <c r="P34" i="18"/>
  <c r="I82" i="18" s="1"/>
  <c r="O34" i="18"/>
  <c r="F34" i="18"/>
  <c r="P37" i="18"/>
  <c r="O37" i="18"/>
  <c r="F37" i="18"/>
  <c r="P39" i="18"/>
  <c r="O39" i="18"/>
  <c r="F39" i="18"/>
  <c r="P71" i="18"/>
  <c r="O71" i="18"/>
  <c r="F71" i="18"/>
  <c r="P64" i="18"/>
  <c r="O64" i="18"/>
  <c r="F64" i="18"/>
  <c r="P62" i="18"/>
  <c r="O62" i="18"/>
  <c r="F62" i="18"/>
  <c r="P60" i="18"/>
  <c r="O60" i="18"/>
  <c r="F60" i="18"/>
  <c r="P61" i="18"/>
  <c r="O61" i="18"/>
  <c r="F61" i="18"/>
  <c r="P70" i="18"/>
  <c r="O70" i="18"/>
  <c r="F70" i="18"/>
  <c r="P66" i="18"/>
  <c r="O66" i="18"/>
  <c r="F66" i="18"/>
  <c r="P67" i="18"/>
  <c r="O67" i="18"/>
  <c r="F67" i="18"/>
  <c r="P75" i="18"/>
  <c r="O75" i="18"/>
  <c r="F75" i="18"/>
  <c r="P38" i="18"/>
  <c r="O38" i="18"/>
  <c r="F38" i="18"/>
  <c r="P41" i="18"/>
  <c r="O41" i="18"/>
  <c r="F41" i="18"/>
  <c r="P74" i="18"/>
  <c r="O74" i="18"/>
  <c r="F74" i="18"/>
  <c r="P76" i="18"/>
  <c r="O76" i="18"/>
  <c r="F76" i="18"/>
  <c r="P63" i="18"/>
  <c r="O63" i="18"/>
  <c r="F63" i="18"/>
  <c r="P43" i="18"/>
  <c r="O43" i="18"/>
  <c r="F43" i="18"/>
  <c r="P65" i="18"/>
  <c r="O65" i="18"/>
  <c r="F65" i="18"/>
  <c r="P31" i="18"/>
  <c r="O31" i="18"/>
  <c r="F31" i="18"/>
  <c r="P36" i="18"/>
  <c r="O36" i="18"/>
  <c r="F36" i="18"/>
  <c r="P68" i="18"/>
  <c r="O68" i="18"/>
  <c r="F68" i="18"/>
  <c r="P33" i="18"/>
  <c r="O33" i="18"/>
  <c r="F33" i="18"/>
  <c r="P58" i="18"/>
  <c r="O58" i="18"/>
  <c r="F58" i="18"/>
  <c r="P32" i="18"/>
  <c r="O32" i="18"/>
  <c r="F32" i="18"/>
  <c r="P45" i="18"/>
  <c r="O45" i="18"/>
  <c r="F45" i="18"/>
  <c r="P46" i="18"/>
  <c r="O46" i="18"/>
  <c r="F46" i="18"/>
  <c r="P42" i="18"/>
  <c r="O42" i="18"/>
  <c r="F42" i="18"/>
  <c r="P40" i="18"/>
  <c r="O40" i="18"/>
  <c r="F40" i="18"/>
  <c r="P47" i="18"/>
  <c r="O47" i="18"/>
  <c r="F47" i="18"/>
  <c r="P69" i="18"/>
  <c r="O69" i="18"/>
  <c r="F69" i="18"/>
  <c r="P44" i="18"/>
  <c r="O44" i="18"/>
  <c r="F44" i="18"/>
  <c r="P78" i="18"/>
  <c r="O78" i="18"/>
  <c r="F78" i="18"/>
  <c r="P30" i="18"/>
  <c r="O30" i="18"/>
  <c r="F30" i="18"/>
  <c r="P77" i="18"/>
  <c r="O77" i="18"/>
  <c r="F77" i="18"/>
  <c r="P59" i="18"/>
  <c r="O59" i="18"/>
  <c r="F59" i="18"/>
  <c r="P79" i="18"/>
  <c r="O79" i="18"/>
  <c r="F79" i="18"/>
  <c r="P72" i="18"/>
  <c r="O72" i="18"/>
  <c r="F72" i="18"/>
  <c r="P35" i="18"/>
  <c r="O35" i="18"/>
  <c r="F35" i="18"/>
  <c r="P48" i="18"/>
  <c r="O48" i="18"/>
  <c r="F48" i="18"/>
  <c r="P49" i="18"/>
  <c r="O49" i="18"/>
  <c r="F49" i="18"/>
  <c r="P54" i="18"/>
  <c r="O54" i="18"/>
  <c r="F54" i="18"/>
  <c r="P55" i="18"/>
  <c r="O55" i="18"/>
  <c r="F55" i="18"/>
  <c r="P50" i="18"/>
  <c r="O50" i="18"/>
  <c r="F50" i="18"/>
  <c r="P51" i="18"/>
  <c r="O51" i="18"/>
  <c r="F51" i="18"/>
  <c r="P56" i="18"/>
  <c r="O56" i="18"/>
  <c r="F56" i="18"/>
  <c r="P52" i="18"/>
  <c r="O52" i="18"/>
  <c r="F52" i="18"/>
  <c r="P57" i="18"/>
  <c r="O57" i="18"/>
  <c r="F57" i="18"/>
  <c r="P53" i="18"/>
  <c r="O53" i="18"/>
  <c r="F53" i="18"/>
  <c r="U1" i="18"/>
  <c r="B9" i="21"/>
  <c r="F21" i="18" l="1"/>
  <c r="D16" i="21"/>
  <c r="C16" i="21"/>
  <c r="D15" i="21"/>
  <c r="C15" i="21"/>
  <c r="C17" i="21"/>
  <c r="D17" i="21"/>
  <c r="H16" i="21"/>
  <c r="H15" i="21"/>
  <c r="H20" i="18"/>
  <c r="I20" i="18" s="1"/>
  <c r="D5" i="21"/>
  <c r="D6" i="21"/>
  <c r="D2" i="21"/>
  <c r="E2" i="21"/>
  <c r="I21" i="18"/>
  <c r="O1" i="19" a="1"/>
  <c r="O1" i="19" s="1"/>
  <c r="C11" i="21"/>
  <c r="D11" i="21" s="1"/>
  <c r="E11" i="21" s="1"/>
  <c r="D3" i="21"/>
  <c r="E3" i="21"/>
  <c r="C10" i="21"/>
  <c r="D10" i="21" s="1"/>
  <c r="E10" i="21" s="1"/>
  <c r="D7" i="21"/>
  <c r="D4" i="21"/>
  <c r="B3" i="21"/>
  <c r="B4" i="21"/>
  <c r="B5" i="21"/>
  <c r="B6" i="21"/>
  <c r="B7" i="21"/>
  <c r="E4" i="21"/>
  <c r="E5" i="21"/>
  <c r="E6" i="21"/>
  <c r="E7" i="21"/>
  <c r="B18" i="18"/>
  <c r="B19" i="18" s="1"/>
  <c r="L3" i="18"/>
  <c r="L2" i="18"/>
  <c r="O2" i="18"/>
  <c r="F2" i="18" s="1"/>
  <c r="O3" i="18"/>
  <c r="F3" i="18" s="1"/>
  <c r="O19" i="18"/>
  <c r="F19" i="18" s="1"/>
  <c r="L19" i="18"/>
  <c r="O18" i="18"/>
  <c r="F18" i="18" s="1"/>
  <c r="L18" i="18"/>
  <c r="I17" i="18"/>
  <c r="E17" i="18"/>
  <c r="O16" i="18"/>
  <c r="F16" i="18" s="1"/>
  <c r="L16" i="18"/>
  <c r="O15" i="18"/>
  <c r="F15" i="18" s="1"/>
  <c r="L15" i="18"/>
  <c r="O14" i="18"/>
  <c r="F14" i="18" s="1"/>
  <c r="L14" i="18"/>
  <c r="O13" i="18"/>
  <c r="F13" i="18" s="1"/>
  <c r="L13" i="18"/>
  <c r="O12" i="18"/>
  <c r="F12" i="18" s="1"/>
  <c r="L12" i="18"/>
  <c r="O11" i="18"/>
  <c r="F11" i="18" s="1"/>
  <c r="L11" i="18"/>
  <c r="O10" i="18"/>
  <c r="F10" i="18" s="1"/>
  <c r="L10" i="18"/>
  <c r="O9" i="18"/>
  <c r="F9" i="18" s="1"/>
  <c r="L9" i="18"/>
  <c r="O8" i="18"/>
  <c r="F8" i="18" s="1"/>
  <c r="L8" i="18"/>
  <c r="O7" i="18"/>
  <c r="F7" i="18" s="1"/>
  <c r="L7" i="18"/>
  <c r="O6" i="18"/>
  <c r="F6" i="18" s="1"/>
  <c r="L6" i="18"/>
  <c r="O5" i="18"/>
  <c r="L5" i="18"/>
  <c r="O4" i="18"/>
  <c r="F4" i="18" s="1"/>
  <c r="L4" i="18"/>
  <c r="X1" i="18" l="1"/>
  <c r="E21" i="18" s="1"/>
  <c r="F20" i="18"/>
  <c r="E20" i="18"/>
  <c r="F17" i="18"/>
  <c r="F5" i="18"/>
  <c r="O20" i="18"/>
  <c r="O21" i="1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32049A4-4F8C-4FDF-8405-EB1E70672E2A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D6BC20FD-7A52-47A5-984C-5E9118BFBE81}" name="WorksheetConnection_AutoText (2)!$Q$2:$R$581" type="102" refreshedVersion="6" minRefreshableVersion="5">
    <extLst>
      <ext xmlns:x15="http://schemas.microsoft.com/office/spreadsheetml/2010/11/main" uri="{DE250136-89BD-433C-8126-D09CA5730AF9}">
        <x15:connection id="Range">
          <x15:rangePr sourceName="_xlcn.WorksheetConnection_AutoText2Q2R5811"/>
        </x15:connection>
      </ext>
    </extLst>
  </connection>
</connections>
</file>

<file path=xl/sharedStrings.xml><?xml version="1.0" encoding="utf-8"?>
<sst xmlns="http://schemas.openxmlformats.org/spreadsheetml/2006/main" count="1746" uniqueCount="757">
  <si>
    <t>Average</t>
  </si>
  <si>
    <t>Area</t>
  </si>
  <si>
    <t>#</t>
  </si>
  <si>
    <t>Sqm</t>
  </si>
  <si>
    <t>DKK/Sqm</t>
  </si>
  <si>
    <t>Floor</t>
  </si>
  <si>
    <t>Rooms</t>
  </si>
  <si>
    <t>Beds</t>
  </si>
  <si>
    <t>Vanløse</t>
  </si>
  <si>
    <t>Valby</t>
  </si>
  <si>
    <t>København NV</t>
  </si>
  <si>
    <t>København N</t>
  </si>
  <si>
    <t>Date</t>
  </si>
  <si>
    <t>Price DKK</t>
  </si>
  <si>
    <t>DFI</t>
  </si>
  <si>
    <t>ARES</t>
  </si>
  <si>
    <t>Hvidovre</t>
  </si>
  <si>
    <t>Rødovre</t>
  </si>
  <si>
    <t>Project</t>
  </si>
  <si>
    <t>Discount to SalesCompsDFI</t>
  </si>
  <si>
    <t>Search info</t>
  </si>
  <si>
    <t>Annual rent</t>
  </si>
  <si>
    <t>Total Average</t>
  </si>
  <si>
    <t>UW</t>
  </si>
  <si>
    <t>Skovlunde</t>
  </si>
  <si>
    <t>Lejlighed på Kaffevej i Rødovre</t>
  </si>
  <si>
    <t>Lejlighed på Islevbrovej i Rødovre</t>
  </si>
  <si>
    <t>Kaffevej</t>
  </si>
  <si>
    <t>Islevbrovej</t>
  </si>
  <si>
    <t>Rødvore</t>
  </si>
  <si>
    <t>Brøndby</t>
  </si>
  <si>
    <t>Lejlighed i Rødovre</t>
  </si>
  <si>
    <t>Irmavej</t>
  </si>
  <si>
    <t>Rødovre (Irmabyen)</t>
  </si>
  <si>
    <t>Irmavej (2)</t>
  </si>
  <si>
    <t>Dyringparken</t>
  </si>
  <si>
    <t>Lejlighed i Brøndby</t>
  </si>
  <si>
    <t>Ballerup</t>
  </si>
  <si>
    <t>Herlev</t>
  </si>
  <si>
    <t>No</t>
  </si>
  <si>
    <t>na</t>
  </si>
  <si>
    <t>Greve</t>
  </si>
  <si>
    <t>Karlslunde</t>
  </si>
  <si>
    <t>Ishøj</t>
  </si>
  <si>
    <t>København K</t>
  </si>
  <si>
    <t>Frederiksberg</t>
  </si>
  <si>
    <t>København Ø</t>
  </si>
  <si>
    <t>København S</t>
  </si>
  <si>
    <t>København SV</t>
  </si>
  <si>
    <t>Vallensbæk</t>
  </si>
  <si>
    <t>Hedehusene</t>
  </si>
  <si>
    <t>Brønshøj</t>
  </si>
  <si>
    <t>Måløv</t>
  </si>
  <si>
    <t>Smørum</t>
  </si>
  <si>
    <t>Dragør</t>
  </si>
  <si>
    <t>Kongens Lyngby</t>
  </si>
  <si>
    <t>Gentofte</t>
  </si>
  <si>
    <t>Virum</t>
  </si>
  <si>
    <t>Holte</t>
  </si>
  <si>
    <t>Nærum</t>
  </si>
  <si>
    <t>Søborg</t>
  </si>
  <si>
    <t>Bagsværd</t>
  </si>
  <si>
    <t>Hellerup</t>
  </si>
  <si>
    <t>Charlottenlund</t>
  </si>
  <si>
    <t>Klampenborg</t>
  </si>
  <si>
    <t>Skodsborg</t>
  </si>
  <si>
    <t>Vedbæk</t>
  </si>
  <si>
    <t>Hørsholm</t>
  </si>
  <si>
    <t>Kokkedal</t>
  </si>
  <si>
    <t>Nivå</t>
  </si>
  <si>
    <t>Helsingør</t>
  </si>
  <si>
    <t>Humlebæk</t>
  </si>
  <si>
    <t>Espergærde</t>
  </si>
  <si>
    <t>Tikøb</t>
  </si>
  <si>
    <t>Hornbæk</t>
  </si>
  <si>
    <t>Dronningmølle</t>
  </si>
  <si>
    <t>Ålsgårde</t>
  </si>
  <si>
    <t>Hellebæk</t>
  </si>
  <si>
    <t>Helsinge</t>
  </si>
  <si>
    <t>Vejby</t>
  </si>
  <si>
    <t>Tisvildeleje</t>
  </si>
  <si>
    <t>Gilleleje</t>
  </si>
  <si>
    <t>Frederiksværk</t>
  </si>
  <si>
    <t>Skævinge</t>
  </si>
  <si>
    <t>Gørløse</t>
  </si>
  <si>
    <t>Liseleje</t>
  </si>
  <si>
    <t>Melby</t>
  </si>
  <si>
    <t>Hillerød</t>
  </si>
  <si>
    <t>Birkerød</t>
  </si>
  <si>
    <t>Fredensborg</t>
  </si>
  <si>
    <t>Værløse</t>
  </si>
  <si>
    <t>Farum</t>
  </si>
  <si>
    <t>Lynge</t>
  </si>
  <si>
    <t>Slangerup</t>
  </si>
  <si>
    <t>Frederikssund</t>
  </si>
  <si>
    <t>Jægerspris</t>
  </si>
  <si>
    <t>Veksø Sjælland</t>
  </si>
  <si>
    <t>Rønne</t>
  </si>
  <si>
    <t>Aakirkeby</t>
  </si>
  <si>
    <t>Nexø</t>
  </si>
  <si>
    <t>Svaneke</t>
  </si>
  <si>
    <t>Gudhjem</t>
  </si>
  <si>
    <t>Allinge</t>
  </si>
  <si>
    <t>Klemensker</t>
  </si>
  <si>
    <t>Hasle</t>
  </si>
  <si>
    <t>Roskilde</t>
  </si>
  <si>
    <t>Jyllinge</t>
  </si>
  <si>
    <t>Skibby</t>
  </si>
  <si>
    <t>Kirke Såby</t>
  </si>
  <si>
    <t>Kirke Hyllinge</t>
  </si>
  <si>
    <t>Viby Sjælland</t>
  </si>
  <si>
    <t>Borup</t>
  </si>
  <si>
    <t>Herlufmagle</t>
  </si>
  <si>
    <t>Glumsø</t>
  </si>
  <si>
    <t>Fjenneslev</t>
  </si>
  <si>
    <t>Sorø</t>
  </si>
  <si>
    <t>Munke Bjergby</t>
  </si>
  <si>
    <t>Slagelse</t>
  </si>
  <si>
    <t>Korsør</t>
  </si>
  <si>
    <t>Skælskør</t>
  </si>
  <si>
    <t>Vemmelev</t>
  </si>
  <si>
    <t>Boeslunde</t>
  </si>
  <si>
    <t>Rude</t>
  </si>
  <si>
    <t>Fuglebjerg</t>
  </si>
  <si>
    <t>Dalmose</t>
  </si>
  <si>
    <t>Sandved</t>
  </si>
  <si>
    <t>Høng</t>
  </si>
  <si>
    <t>Gørlev</t>
  </si>
  <si>
    <t>Ruds Vedby</t>
  </si>
  <si>
    <t>Dianalund</t>
  </si>
  <si>
    <t>Nyrup</t>
  </si>
  <si>
    <t>Holbæk</t>
  </si>
  <si>
    <t>Lejre</t>
  </si>
  <si>
    <t>Hvalsø</t>
  </si>
  <si>
    <t>Tølløse</t>
  </si>
  <si>
    <t>Ugerløse</t>
  </si>
  <si>
    <t>Vipperød</t>
  </si>
  <si>
    <t>Kalundborg</t>
  </si>
  <si>
    <t>Mørkøv</t>
  </si>
  <si>
    <t>Jyderup</t>
  </si>
  <si>
    <t>Snertinge</t>
  </si>
  <si>
    <t>Svebølle</t>
  </si>
  <si>
    <t>Nykøbing Sj</t>
  </si>
  <si>
    <t>Svinninge</t>
  </si>
  <si>
    <t>Gislinge</t>
  </si>
  <si>
    <t>Hørve</t>
  </si>
  <si>
    <t>Fårevejle</t>
  </si>
  <si>
    <t>Asnæs</t>
  </si>
  <si>
    <t>Vig</t>
  </si>
  <si>
    <t>Grevinge</t>
  </si>
  <si>
    <t>Nørre Asmindrup</t>
  </si>
  <si>
    <t>Højby</t>
  </si>
  <si>
    <t>Rørvig</t>
  </si>
  <si>
    <t>Sjællands Odde</t>
  </si>
  <si>
    <t>Føllenslev</t>
  </si>
  <si>
    <t>Sejerø</t>
  </si>
  <si>
    <t>Eskebjerg</t>
  </si>
  <si>
    <t>Køge</t>
  </si>
  <si>
    <t>Havdrup</t>
  </si>
  <si>
    <t>Lille Skensved</t>
  </si>
  <si>
    <t>Bjæverskov</t>
  </si>
  <si>
    <t>Hårlev</t>
  </si>
  <si>
    <t>Karise</t>
  </si>
  <si>
    <t>Klippinge</t>
  </si>
  <si>
    <t>Herfølge</t>
  </si>
  <si>
    <t>Tureby</t>
  </si>
  <si>
    <t>Rønnede</t>
  </si>
  <si>
    <t>Haslev</t>
  </si>
  <si>
    <t>Tappernøje</t>
  </si>
  <si>
    <t>Mern</t>
  </si>
  <si>
    <t>Karrebæksminde</t>
  </si>
  <si>
    <t>Lundby</t>
  </si>
  <si>
    <t>Vordingborg</t>
  </si>
  <si>
    <t>Kalvehave</t>
  </si>
  <si>
    <t>Langebæk</t>
  </si>
  <si>
    <t>Borre</t>
  </si>
  <si>
    <t>Askeby</t>
  </si>
  <si>
    <t>Bogø By</t>
  </si>
  <si>
    <t>Nykøbing F</t>
  </si>
  <si>
    <t>Nørre Alslev</t>
  </si>
  <si>
    <t>Guldborg</t>
  </si>
  <si>
    <t>Horbelev</t>
  </si>
  <si>
    <t>Væggerløse</t>
  </si>
  <si>
    <t>Gedser</t>
  </si>
  <si>
    <t>Toreby L</t>
  </si>
  <si>
    <t>Kettinge</t>
  </si>
  <si>
    <t>Errindlev</t>
  </si>
  <si>
    <t>Nakskov</t>
  </si>
  <si>
    <t>Harpelunde</t>
  </si>
  <si>
    <t>Horslunde</t>
  </si>
  <si>
    <t>Maribo</t>
  </si>
  <si>
    <t>Bandholm</t>
  </si>
  <si>
    <t>Torrig L</t>
  </si>
  <si>
    <t>Fejø</t>
  </si>
  <si>
    <t>Nørreballe</t>
  </si>
  <si>
    <t>Holeby</t>
  </si>
  <si>
    <t>Rødby</t>
  </si>
  <si>
    <t>Dannemare</t>
  </si>
  <si>
    <t>Sakskøbing</t>
  </si>
  <si>
    <t>Odense C</t>
  </si>
  <si>
    <t>Odense V</t>
  </si>
  <si>
    <t>Odense NV</t>
  </si>
  <si>
    <t>Odense SØ</t>
  </si>
  <si>
    <t>Odense M</t>
  </si>
  <si>
    <t>Odense NØ</t>
  </si>
  <si>
    <t>Odense SV</t>
  </si>
  <si>
    <t>Odense S</t>
  </si>
  <si>
    <t>Odense N</t>
  </si>
  <si>
    <t>Marslev</t>
  </si>
  <si>
    <t>Kerteminde</t>
  </si>
  <si>
    <t>Munkebo</t>
  </si>
  <si>
    <t>Rynkeby</t>
  </si>
  <si>
    <t>Mesinge</t>
  </si>
  <si>
    <t>Dalby</t>
  </si>
  <si>
    <t>Martofte</t>
  </si>
  <si>
    <t>Bogense</t>
  </si>
  <si>
    <t>Otterup</t>
  </si>
  <si>
    <t>Morud</t>
  </si>
  <si>
    <t>Harndrup</t>
  </si>
  <si>
    <t>Asperup</t>
  </si>
  <si>
    <t>Søndersø</t>
  </si>
  <si>
    <t>Veflinge</t>
  </si>
  <si>
    <t>Skamby</t>
  </si>
  <si>
    <t>Vissenbjerg</t>
  </si>
  <si>
    <t>Middelfart</t>
  </si>
  <si>
    <t>Ullerslev</t>
  </si>
  <si>
    <t>Langeskov</t>
  </si>
  <si>
    <t>Aarup</t>
  </si>
  <si>
    <t>Nørre Aaby</t>
  </si>
  <si>
    <t>Ejby</t>
  </si>
  <si>
    <t>Faaborg</t>
  </si>
  <si>
    <t>Assens</t>
  </si>
  <si>
    <t>Glamsbjerg</t>
  </si>
  <si>
    <t>Ebberup</t>
  </si>
  <si>
    <t>Millinge</t>
  </si>
  <si>
    <t>Broby</t>
  </si>
  <si>
    <t>Haarby</t>
  </si>
  <si>
    <t>Tommerup</t>
  </si>
  <si>
    <t>Svendborg</t>
  </si>
  <si>
    <t>Ringe</t>
  </si>
  <si>
    <t>Kværndrup</t>
  </si>
  <si>
    <t>Årslev</t>
  </si>
  <si>
    <t>Nyborg</t>
  </si>
  <si>
    <t>Ørbæk</t>
  </si>
  <si>
    <t>Gislev</t>
  </si>
  <si>
    <t>Ryslinge</t>
  </si>
  <si>
    <t>Ferritslev Fyn</t>
  </si>
  <si>
    <t>Frørup</t>
  </si>
  <si>
    <t>Hesselager</t>
  </si>
  <si>
    <t>Skårup Fyn</t>
  </si>
  <si>
    <t>Oure</t>
  </si>
  <si>
    <t>Gudme</t>
  </si>
  <si>
    <t>Rudkøbing</t>
  </si>
  <si>
    <t>Humble</t>
  </si>
  <si>
    <t>Bagenkop</t>
  </si>
  <si>
    <t>Tranekær</t>
  </si>
  <si>
    <t>Ærøskøbing</t>
  </si>
  <si>
    <t>Søby Ærø</t>
  </si>
  <si>
    <t>Kolding</t>
  </si>
  <si>
    <t>Egtved</t>
  </si>
  <si>
    <t>Almind</t>
  </si>
  <si>
    <t>Viuf</t>
  </si>
  <si>
    <t>Jordrup</t>
  </si>
  <si>
    <t>Bjert</t>
  </si>
  <si>
    <t>Sjølund</t>
  </si>
  <si>
    <t>Hejls</t>
  </si>
  <si>
    <t>Haderslev</t>
  </si>
  <si>
    <t>Aabenraa</t>
  </si>
  <si>
    <t>Rødekro</t>
  </si>
  <si>
    <t>Bredebro</t>
  </si>
  <si>
    <t>Tønder</t>
  </si>
  <si>
    <t>Højer</t>
  </si>
  <si>
    <t>Broager</t>
  </si>
  <si>
    <t>Egernsund</t>
  </si>
  <si>
    <t>Padborg</t>
  </si>
  <si>
    <t>Kruså</t>
  </si>
  <si>
    <t>Tinglev</t>
  </si>
  <si>
    <t>Bylderup-Bov</t>
  </si>
  <si>
    <t>Bolderslev</t>
  </si>
  <si>
    <t>Sønderborg</t>
  </si>
  <si>
    <t>Nordborg</t>
  </si>
  <si>
    <t>Sydals</t>
  </si>
  <si>
    <t>Vojens</t>
  </si>
  <si>
    <t>Gram</t>
  </si>
  <si>
    <t>Toftlund</t>
  </si>
  <si>
    <t>Branderup J</t>
  </si>
  <si>
    <t>Bevtoft</t>
  </si>
  <si>
    <t>Vamdrup</t>
  </si>
  <si>
    <t>Vejen</t>
  </si>
  <si>
    <t>Bække</t>
  </si>
  <si>
    <t>Vorbasse</t>
  </si>
  <si>
    <t>Rødding</t>
  </si>
  <si>
    <t>Lunderskov</t>
  </si>
  <si>
    <t>Brørup</t>
  </si>
  <si>
    <t>Lintrup</t>
  </si>
  <si>
    <t>Hovborg</t>
  </si>
  <si>
    <t>Føvling</t>
  </si>
  <si>
    <t>Gørding</t>
  </si>
  <si>
    <t>Esbjerg</t>
  </si>
  <si>
    <t>Esbjerg Ø</t>
  </si>
  <si>
    <t>Esbjerg V</t>
  </si>
  <si>
    <t>Esbjerg N</t>
  </si>
  <si>
    <t>Fanø</t>
  </si>
  <si>
    <t>Tjæreborg</t>
  </si>
  <si>
    <t>Bramming</t>
  </si>
  <si>
    <t>Glejbjerg</t>
  </si>
  <si>
    <t>Ribe</t>
  </si>
  <si>
    <t>Skærbæk</t>
  </si>
  <si>
    <t>Rømø</t>
  </si>
  <si>
    <t>Varde</t>
  </si>
  <si>
    <t>Årre</t>
  </si>
  <si>
    <t>Ansager</t>
  </si>
  <si>
    <t>Nørre Nebel</t>
  </si>
  <si>
    <t>Oksbøl</t>
  </si>
  <si>
    <t>Billum</t>
  </si>
  <si>
    <t>Henne</t>
  </si>
  <si>
    <t>Outrup</t>
  </si>
  <si>
    <t>Blåvand</t>
  </si>
  <si>
    <t>Ølgod</t>
  </si>
  <si>
    <t>Tarm</t>
  </si>
  <si>
    <t>Hemmet</t>
  </si>
  <si>
    <t>Skjern</t>
  </si>
  <si>
    <t>Videbæk</t>
  </si>
  <si>
    <t>Kibæk</t>
  </si>
  <si>
    <t>Ringkøbing</t>
  </si>
  <si>
    <t>Hvide Sande</t>
  </si>
  <si>
    <t>Spjald</t>
  </si>
  <si>
    <t>Ørnhøj</t>
  </si>
  <si>
    <t>Tim</t>
  </si>
  <si>
    <t>Ulfborg</t>
  </si>
  <si>
    <t>Fredericia</t>
  </si>
  <si>
    <t>Børkop</t>
  </si>
  <si>
    <t>Vejle</t>
  </si>
  <si>
    <t>Juelsminde</t>
  </si>
  <si>
    <t>Barrit</t>
  </si>
  <si>
    <t>Tørring</t>
  </si>
  <si>
    <t>Uldum</t>
  </si>
  <si>
    <t>Vonge</t>
  </si>
  <si>
    <t>Randbøl</t>
  </si>
  <si>
    <t>Vandel</t>
  </si>
  <si>
    <t>Billund</t>
  </si>
  <si>
    <t>Hejnsvig</t>
  </si>
  <si>
    <t>Sønder Omme</t>
  </si>
  <si>
    <t>Sønder Felding</t>
  </si>
  <si>
    <t>Jelling</t>
  </si>
  <si>
    <t>Gadbjerg</t>
  </si>
  <si>
    <t>Give</t>
  </si>
  <si>
    <t>Brande</t>
  </si>
  <si>
    <t>Hampen</t>
  </si>
  <si>
    <t>Herning</t>
  </si>
  <si>
    <t>Bording</t>
  </si>
  <si>
    <t>Engesvang</t>
  </si>
  <si>
    <t>Sunds</t>
  </si>
  <si>
    <t>Karup J</t>
  </si>
  <si>
    <t>Vildbjerg</t>
  </si>
  <si>
    <t>Aulum</t>
  </si>
  <si>
    <t>Haderup</t>
  </si>
  <si>
    <t>Sørvad</t>
  </si>
  <si>
    <t>Hjerm</t>
  </si>
  <si>
    <t>Vemb</t>
  </si>
  <si>
    <t>Lemvig</t>
  </si>
  <si>
    <t>Bøvlingbjerg</t>
  </si>
  <si>
    <t>Bækmarksbro</t>
  </si>
  <si>
    <t>Harboøre</t>
  </si>
  <si>
    <t>Thyborøn</t>
  </si>
  <si>
    <t>Vesløs</t>
  </si>
  <si>
    <t>Hurup Thy</t>
  </si>
  <si>
    <t>Thyholm</t>
  </si>
  <si>
    <t>Skive</t>
  </si>
  <si>
    <t>Vinderup</t>
  </si>
  <si>
    <t>Højslev</t>
  </si>
  <si>
    <t>Spøttrup</t>
  </si>
  <si>
    <t>Roslev</t>
  </si>
  <si>
    <t>Fur</t>
  </si>
  <si>
    <t>Nykøbing M</t>
  </si>
  <si>
    <t>Erslev</t>
  </si>
  <si>
    <t>Karby</t>
  </si>
  <si>
    <t>Vils</t>
  </si>
  <si>
    <t>Brabrand</t>
  </si>
  <si>
    <t>Åbyhøj</t>
  </si>
  <si>
    <t>Risskov</t>
  </si>
  <si>
    <t>Egå</t>
  </si>
  <si>
    <t>Viby J</t>
  </si>
  <si>
    <t>Højbjerg</t>
  </si>
  <si>
    <t>Odder</t>
  </si>
  <si>
    <t>Samsø</t>
  </si>
  <si>
    <t>Tranbjerg J</t>
  </si>
  <si>
    <t>Mårslet</t>
  </si>
  <si>
    <t>Beder</t>
  </si>
  <si>
    <t>Malling</t>
  </si>
  <si>
    <t>Hundslund</t>
  </si>
  <si>
    <t>Solbjerg</t>
  </si>
  <si>
    <t>Hasselager</t>
  </si>
  <si>
    <t>Hørning</t>
  </si>
  <si>
    <t>Trige</t>
  </si>
  <si>
    <t>Hinnerup</t>
  </si>
  <si>
    <t>Ebeltoft</t>
  </si>
  <si>
    <t>Rønde</t>
  </si>
  <si>
    <t>Knebel</t>
  </si>
  <si>
    <t>Balle</t>
  </si>
  <si>
    <t>Hammel</t>
  </si>
  <si>
    <t>Harlev J</t>
  </si>
  <si>
    <t>Galten</t>
  </si>
  <si>
    <t>Sabro</t>
  </si>
  <si>
    <t>Sporup</t>
  </si>
  <si>
    <t>Grenaa</t>
  </si>
  <si>
    <t>Hjortshøj</t>
  </si>
  <si>
    <t>Hornslet</t>
  </si>
  <si>
    <t>Mørke</t>
  </si>
  <si>
    <t>Ryomgård</t>
  </si>
  <si>
    <t>Kolind</t>
  </si>
  <si>
    <t>Nimtofte</t>
  </si>
  <si>
    <t>Glesborg</t>
  </si>
  <si>
    <t>Ørum Djurs</t>
  </si>
  <si>
    <t>Anholt</t>
  </si>
  <si>
    <t>Silkeborg</t>
  </si>
  <si>
    <t>Kjellerup</t>
  </si>
  <si>
    <t>Lemming</t>
  </si>
  <si>
    <t>Sorring</t>
  </si>
  <si>
    <t>Them</t>
  </si>
  <si>
    <t>Bryrup</t>
  </si>
  <si>
    <t>Skanderborg</t>
  </si>
  <si>
    <t>Låsby</t>
  </si>
  <si>
    <t>Ry</t>
  </si>
  <si>
    <t>Horsens</t>
  </si>
  <si>
    <t>Daugård</t>
  </si>
  <si>
    <t>Løsning</t>
  </si>
  <si>
    <t>Hovedgård</t>
  </si>
  <si>
    <t>Gedved</t>
  </si>
  <si>
    <t>Flemming</t>
  </si>
  <si>
    <t>Rask Mølle</t>
  </si>
  <si>
    <t>Nørre Snede</t>
  </si>
  <si>
    <t>Hornsyld</t>
  </si>
  <si>
    <t>Viborg</t>
  </si>
  <si>
    <t>Tjele</t>
  </si>
  <si>
    <t>Skals</t>
  </si>
  <si>
    <t>Rødkærsbro</t>
  </si>
  <si>
    <t>Bjerringbro</t>
  </si>
  <si>
    <t>Langå</t>
  </si>
  <si>
    <t>Thorsø</t>
  </si>
  <si>
    <t>Fårvang</t>
  </si>
  <si>
    <t>Gjern</t>
  </si>
  <si>
    <t>Allingåbro</t>
  </si>
  <si>
    <t>Auning</t>
  </si>
  <si>
    <t>Havndal</t>
  </si>
  <si>
    <t>Gjerlev J</t>
  </si>
  <si>
    <t>Fårup</t>
  </si>
  <si>
    <t>Aalborg</t>
  </si>
  <si>
    <t>Aalborg SV</t>
  </si>
  <si>
    <t>Aalborg SØ</t>
  </si>
  <si>
    <t>Nibe</t>
  </si>
  <si>
    <t>Klarup</t>
  </si>
  <si>
    <t>Kongerslev</t>
  </si>
  <si>
    <t>Sæby</t>
  </si>
  <si>
    <t>Vodskov</t>
  </si>
  <si>
    <t>Hjallerup</t>
  </si>
  <si>
    <t>Dronninglund</t>
  </si>
  <si>
    <t>Asaa</t>
  </si>
  <si>
    <t>Dybvad</t>
  </si>
  <si>
    <t>Gandrup</t>
  </si>
  <si>
    <t>Hals</t>
  </si>
  <si>
    <t>Nørresundby</t>
  </si>
  <si>
    <t>Vadum</t>
  </si>
  <si>
    <t>Aabybro</t>
  </si>
  <si>
    <t>Løkken</t>
  </si>
  <si>
    <t>Pandrup</t>
  </si>
  <si>
    <t>Blokhus</t>
  </si>
  <si>
    <t>Saltum</t>
  </si>
  <si>
    <t>Hobro</t>
  </si>
  <si>
    <t>Arden</t>
  </si>
  <si>
    <t>Skørping</t>
  </si>
  <si>
    <t>Suldrup</t>
  </si>
  <si>
    <t>Mariager</t>
  </si>
  <si>
    <t>Hadsund</t>
  </si>
  <si>
    <t>Bælum</t>
  </si>
  <si>
    <t>Terndrup</t>
  </si>
  <si>
    <t>Aars</t>
  </si>
  <si>
    <t>Nørager</t>
  </si>
  <si>
    <t>Møldrup</t>
  </si>
  <si>
    <t>Farsø</t>
  </si>
  <si>
    <t>Ranum</t>
  </si>
  <si>
    <t>Fjerritslev</t>
  </si>
  <si>
    <t>Brønderslev</t>
  </si>
  <si>
    <t>Jerslev J</t>
  </si>
  <si>
    <t>Vrå</t>
  </si>
  <si>
    <t>Hjørring</t>
  </si>
  <si>
    <t>Tårs</t>
  </si>
  <si>
    <t>Hirtshals</t>
  </si>
  <si>
    <t>Sindal</t>
  </si>
  <si>
    <t>Bindslev</t>
  </si>
  <si>
    <t>Frederikshavn</t>
  </si>
  <si>
    <t>Læsø</t>
  </si>
  <si>
    <t>Jerup</t>
  </si>
  <si>
    <t>Ålbæk</t>
  </si>
  <si>
    <t>Skagen</t>
  </si>
  <si>
    <t>Unit Sqm</t>
  </si>
  <si>
    <t>Units</t>
  </si>
  <si>
    <t>Total average</t>
  </si>
  <si>
    <t>Below table li0s currently li0ed tenancies</t>
  </si>
  <si>
    <t>Glo0rup</t>
  </si>
  <si>
    <t>3v lejlighed i Glo0rup på 86 kvm</t>
  </si>
  <si>
    <t>Discount to SalesCompsDFI, be0 comp</t>
  </si>
  <si>
    <t>Calibri</t>
  </si>
  <si>
    <t>Formel til at isolere byområdet --&gt;</t>
  </si>
  <si>
    <t>Link</t>
  </si>
  <si>
    <t>AEP</t>
  </si>
  <si>
    <t>Etage</t>
  </si>
  <si>
    <t>Aarhus C</t>
  </si>
  <si>
    <t>Aarhus N</t>
  </si>
  <si>
    <t>Aarhus V</t>
  </si>
  <si>
    <t>Facility</t>
  </si>
  <si>
    <t>København C</t>
  </si>
  <si>
    <t>Københavns Pakkecent</t>
  </si>
  <si>
    <t>Udland</t>
  </si>
  <si>
    <t>København V</t>
  </si>
  <si>
    <t>Frederiksberg C</t>
  </si>
  <si>
    <t>Nordhavn</t>
  </si>
  <si>
    <t>Albertslund</t>
  </si>
  <si>
    <t>Dyssegård</t>
  </si>
  <si>
    <t>Allerød</t>
  </si>
  <si>
    <t>Tune</t>
  </si>
  <si>
    <t>Agersø</t>
  </si>
  <si>
    <t>Omø</t>
  </si>
  <si>
    <t>Orø</t>
  </si>
  <si>
    <t>Jerslev Sjælland</t>
  </si>
  <si>
    <t>Faxe</t>
  </si>
  <si>
    <t>Faxe Ladeplads</t>
  </si>
  <si>
    <t>Holmegaard</t>
  </si>
  <si>
    <t>Askø</t>
  </si>
  <si>
    <t>Femø</t>
  </si>
  <si>
    <t>Agedrup</t>
  </si>
  <si>
    <t>Brenderup Fyn</t>
  </si>
  <si>
    <t>Lyø</t>
  </si>
  <si>
    <t>Avernakø</t>
  </si>
  <si>
    <t>Bjørnø</t>
  </si>
  <si>
    <t>Gudbjerg Sydfyn</t>
  </si>
  <si>
    <t>Birkholm</t>
  </si>
  <si>
    <t>Barsø</t>
  </si>
  <si>
    <t>Agerskov</t>
  </si>
  <si>
    <t>Agerbæk</t>
  </si>
  <si>
    <t>Risskov Ø</t>
  </si>
  <si>
    <t>Ans By</t>
  </si>
  <si>
    <t>Klovborg</t>
  </si>
  <si>
    <t>Endelave</t>
  </si>
  <si>
    <t>Tunø</t>
  </si>
  <si>
    <t>Randers C</t>
  </si>
  <si>
    <t>Randers NV</t>
  </si>
  <si>
    <t>Randers NØ</t>
  </si>
  <si>
    <t>Randers SV</t>
  </si>
  <si>
    <t>Randers SØ</t>
  </si>
  <si>
    <t>Spentrup</t>
  </si>
  <si>
    <t>By</t>
  </si>
  <si>
    <t>76  lejlighed i Glo0rup</t>
  </si>
  <si>
    <t/>
  </si>
  <si>
    <t>Street Name</t>
  </si>
  <si>
    <t>Const yr</t>
  </si>
  <si>
    <t>Kastrup</t>
  </si>
  <si>
    <t>Postnr</t>
  </si>
  <si>
    <t>Høje Taastrup</t>
  </si>
  <si>
    <t>Glostrup</t>
  </si>
  <si>
    <t>Taastrup</t>
  </si>
  <si>
    <t>Brøndby strand</t>
  </si>
  <si>
    <t>Vallensbæk strand</t>
  </si>
  <si>
    <t>Solrød strand</t>
  </si>
  <si>
    <t>Rungsted Kyst</t>
  </si>
  <si>
    <t>Snekkersten</t>
  </si>
  <si>
    <t>Græsted</t>
  </si>
  <si>
    <t>Ølsted</t>
  </si>
  <si>
    <t>Hundested</t>
  </si>
  <si>
    <t>Kvistgård</t>
  </si>
  <si>
    <t>Ølstykke</t>
  </si>
  <si>
    <t>stenløse</t>
  </si>
  <si>
    <t>Østermarie</t>
  </si>
  <si>
    <t>Ringsted</t>
  </si>
  <si>
    <t>Jystrup Midtsj</t>
  </si>
  <si>
    <t>stenlille</t>
  </si>
  <si>
    <t>Kirke Eskilstrup</t>
  </si>
  <si>
    <t>store Merløse</t>
  </si>
  <si>
    <t>Regstrup</t>
  </si>
  <si>
    <t>store Fuglede</t>
  </si>
  <si>
    <t>Gadstrup</t>
  </si>
  <si>
    <t>store Heddinge</t>
  </si>
  <si>
    <t>strøby</t>
  </si>
  <si>
    <t>Rødvig stevns</t>
  </si>
  <si>
    <t>Næstved</t>
  </si>
  <si>
    <t>Præstø</t>
  </si>
  <si>
    <t>stensved</t>
  </si>
  <si>
    <t>stege</t>
  </si>
  <si>
    <t>stubbekøbing</t>
  </si>
  <si>
    <t>Eskilstrup</t>
  </si>
  <si>
    <t>Idestrup</t>
  </si>
  <si>
    <t>Nysted</t>
  </si>
  <si>
    <t>Øster Ulslev</t>
  </si>
  <si>
    <t>Søllested</t>
  </si>
  <si>
    <t>stokkemarke</t>
  </si>
  <si>
    <t>Vesterborg</t>
  </si>
  <si>
    <t>Blommenslyst</t>
  </si>
  <si>
    <t>Gelsted</t>
  </si>
  <si>
    <t>Vester Skerninge</t>
  </si>
  <si>
    <t>stenstrup</t>
  </si>
  <si>
    <t>Vejstrup</t>
  </si>
  <si>
    <t>strynø</t>
  </si>
  <si>
    <t>Marstal</t>
  </si>
  <si>
    <t>Christiansfeld</t>
  </si>
  <si>
    <t>Sønder stenderup</t>
  </si>
  <si>
    <t>Løgumkloster</t>
  </si>
  <si>
    <t>Gråsten</t>
  </si>
  <si>
    <t>Augustenborg</t>
  </si>
  <si>
    <t>Sommersted</t>
  </si>
  <si>
    <t>Gesten</t>
  </si>
  <si>
    <t>Holsted</t>
  </si>
  <si>
    <t>Gredstedbro</t>
  </si>
  <si>
    <t>Janderup Vestj</t>
  </si>
  <si>
    <t>Vejers strand</t>
  </si>
  <si>
    <t>Tistrup</t>
  </si>
  <si>
    <t>Lem st</t>
  </si>
  <si>
    <t>Vejle Øst</t>
  </si>
  <si>
    <t>stouby</t>
  </si>
  <si>
    <t>Bredsten</t>
  </si>
  <si>
    <t>Grindsted</t>
  </si>
  <si>
    <t>stakroge</t>
  </si>
  <si>
    <t>Ejstrupholm</t>
  </si>
  <si>
    <t>Ikast</t>
  </si>
  <si>
    <t>Holstebro</t>
  </si>
  <si>
    <t>struer</t>
  </si>
  <si>
    <t>Thisted</t>
  </si>
  <si>
    <t>Hanstholm</t>
  </si>
  <si>
    <t>Frøstrup</t>
  </si>
  <si>
    <t>Snedsted</t>
  </si>
  <si>
    <t>Bedsted Thy</t>
  </si>
  <si>
    <t>Vestervig</t>
  </si>
  <si>
    <t>stoholm Jyll</t>
  </si>
  <si>
    <t>Redsted M</t>
  </si>
  <si>
    <t>Øster Assels</t>
  </si>
  <si>
    <t>Hadsten</t>
  </si>
  <si>
    <t>Tilst</t>
  </si>
  <si>
    <t>Lystrup</t>
  </si>
  <si>
    <t>Skødstrup</t>
  </si>
  <si>
    <t>Trustrup</t>
  </si>
  <si>
    <t>Hedensted</t>
  </si>
  <si>
    <t>Brædstrup</t>
  </si>
  <si>
    <t>Østbirk</t>
  </si>
  <si>
    <t>stenderup</t>
  </si>
  <si>
    <t>Løgstrup</t>
  </si>
  <si>
    <t>Ulstrup</t>
  </si>
  <si>
    <t>Ørsted</t>
  </si>
  <si>
    <t>Aalborg Øst</t>
  </si>
  <si>
    <t>Svenstrup J</t>
  </si>
  <si>
    <t>Gistrup</t>
  </si>
  <si>
    <t>storvorde</t>
  </si>
  <si>
    <t>Vestbjerg</t>
  </si>
  <si>
    <t>Sulsted</t>
  </si>
  <si>
    <t>Tylstrup</t>
  </si>
  <si>
    <t>Brovst</t>
  </si>
  <si>
    <t>støvring</t>
  </si>
  <si>
    <t>Aalestrup</t>
  </si>
  <si>
    <t>Gedsted</t>
  </si>
  <si>
    <t>Løgstør</t>
  </si>
  <si>
    <t>Østervrå</t>
  </si>
  <si>
    <t>strandby</t>
  </si>
  <si>
    <t>Total Sqm</t>
  </si>
  <si>
    <t>Nybyggeri</t>
  </si>
  <si>
    <t>Ombygning (1968)</t>
  </si>
  <si>
    <t>Vestre Gade</t>
  </si>
  <si>
    <t>Østbrovej</t>
  </si>
  <si>
    <t>Monthly Rent DKK</t>
  </si>
  <si>
    <t>INDSÆT NY DATA I CELLE A29, HVORMED DATA KOMMER FRA CELLE A30</t>
  </si>
  <si>
    <r>
      <t>HUSK: MULIGT AT FORØGE ANTAL OBS PR. SIDE, PÅ BOLIGA, V. AT INDSÆTTE "</t>
    </r>
    <r>
      <rPr>
        <b/>
        <sz val="8"/>
        <rFont val="Arial"/>
        <family val="2"/>
      </rPr>
      <t>&amp;pageSize=500</t>
    </r>
    <r>
      <rPr>
        <sz val="8"/>
        <rFont val="Arial"/>
        <family val="2"/>
      </rPr>
      <t>" I URL</t>
    </r>
  </si>
  <si>
    <t>3 dage siden</t>
  </si>
  <si>
    <t>6 dage siden</t>
  </si>
  <si>
    <t>4 vær · Lejlighed · 99 m²</t>
  </si>
  <si>
    <t>29 juni</t>
  </si>
  <si>
    <t>17 juni</t>
  </si>
  <si>
    <t>4 vær · Lejlighed · 93 m²</t>
  </si>
  <si>
    <t>31 maj</t>
  </si>
  <si>
    <t>18 maj</t>
  </si>
  <si>
    <t>3 vær · Lejlighed · 97 m²</t>
  </si>
  <si>
    <t>Best Average</t>
  </si>
  <si>
    <t>3 vær · Lejlighed · 79 m²</t>
  </si>
  <si>
    <t>1 juli</t>
  </si>
  <si>
    <t>15 juni</t>
  </si>
  <si>
    <t>1 time siden</t>
  </si>
  <si>
    <t>I går</t>
  </si>
  <si>
    <t>4 dage siden</t>
  </si>
  <si>
    <t>2 vær · Lejlighed · 51 m²</t>
  </si>
  <si>
    <t>4 vær · Lejlighed · 122 m²</t>
  </si>
  <si>
    <t>2 vær · Lejlighed · 50 m²</t>
  </si>
  <si>
    <t>2 vær · Lejlighed · 60 m²</t>
  </si>
  <si>
    <t>3 vær · Lejlighed · 65 m²</t>
  </si>
  <si>
    <t>4 vær · Lejlighed · 103 m²</t>
  </si>
  <si>
    <t>3 vær · Lejlighed · 80 m²</t>
  </si>
  <si>
    <t>3 vær · Lejlighed · 91 m²</t>
  </si>
  <si>
    <t>3 vær · Lejlighed · 72 m²</t>
  </si>
  <si>
    <t>4 vær · Lejlighed · 108 m²</t>
  </si>
  <si>
    <t>4 vær · Lejlighed · 118 m²</t>
  </si>
  <si>
    <t>5 juli</t>
  </si>
  <si>
    <t>4 vær · Lejlighed · 130 m²</t>
  </si>
  <si>
    <t>2 juli</t>
  </si>
  <si>
    <t>4 vær · Rækkehus · 104 m²</t>
  </si>
  <si>
    <t>2 vær · Lejlighed · 54 m²</t>
  </si>
  <si>
    <t>3 vær · Lejlighed · 101 m²</t>
  </si>
  <si>
    <t>30 juni</t>
  </si>
  <si>
    <t>4 vær · Lejlighed · 100 m²</t>
  </si>
  <si>
    <t>5 vær · Lejlighed · 210 m²</t>
  </si>
  <si>
    <t>3 vær · Lejlighed · 77 m²</t>
  </si>
  <si>
    <t>3 vær · Lejlighed · 86 m²</t>
  </si>
  <si>
    <t>28 juni</t>
  </si>
  <si>
    <t>3 vær · Rækkehus · 104 m²</t>
  </si>
  <si>
    <t>2 vær · Lejlighed · 69 m²</t>
  </si>
  <si>
    <t>2 vær · Lejlighed · 68 m²</t>
  </si>
  <si>
    <t>25 juni</t>
  </si>
  <si>
    <t>22 juni</t>
  </si>
  <si>
    <t>2 vær · Lejlighed · 79 m²</t>
  </si>
  <si>
    <t>18 juni</t>
  </si>
  <si>
    <t>3 vær · Lejlighed · 68 m²</t>
  </si>
  <si>
    <t>3 vær · Lejlighed · 76 m²</t>
  </si>
  <si>
    <t>14 juni</t>
  </si>
  <si>
    <t>3 vær · Lejlighed · 102 m²</t>
  </si>
  <si>
    <t>12 juni</t>
  </si>
  <si>
    <t>3 vær · Lejlighed · 100 m²</t>
  </si>
  <si>
    <t>8 juni</t>
  </si>
  <si>
    <t>7 juni</t>
  </si>
  <si>
    <t>4 juni</t>
  </si>
  <si>
    <t>5 vær · Lejlighed · 145 m²</t>
  </si>
  <si>
    <t>21 maj</t>
  </si>
  <si>
    <t>1 vær · Lejlighed · 81 m²</t>
  </si>
  <si>
    <t>5 vær · Lejlighed · 168 m²</t>
  </si>
  <si>
    <t>11 maj</t>
  </si>
  <si>
    <t>4 maj</t>
  </si>
  <si>
    <t>5 vær · Lejlighed · 178 m²</t>
  </si>
  <si>
    <t>3 maj</t>
  </si>
  <si>
    <t>4 vær · Lejlighed · 90 m²</t>
  </si>
  <si>
    <t>2 vær · Lejlighed · 102 m²</t>
  </si>
  <si>
    <t>19 marts</t>
  </si>
  <si>
    <t>Lysningen</t>
  </si>
  <si>
    <t>Nytorv</t>
  </si>
  <si>
    <t>SctMikkelsgade</t>
  </si>
  <si>
    <t>Skellet</t>
  </si>
  <si>
    <t>Løvegade</t>
  </si>
  <si>
    <t>Nansensgade</t>
  </si>
  <si>
    <t>Rosengade</t>
  </si>
  <si>
    <t>Hellig Anders Park</t>
  </si>
  <si>
    <t>NdrRinggade</t>
  </si>
  <si>
    <t>Bredegade</t>
  </si>
  <si>
    <t>Byskov Alle</t>
  </si>
  <si>
    <t>Hellig Andersvej</t>
  </si>
  <si>
    <t>Rosengården</t>
  </si>
  <si>
    <t>Æblegården</t>
  </si>
  <si>
    <t>Valdemarsgade</t>
  </si>
  <si>
    <t>Tjørne Alle</t>
  </si>
  <si>
    <t>Stenstuegade</t>
  </si>
  <si>
    <t>Liselundvej</t>
  </si>
  <si>
    <t>Herrestræde</t>
  </si>
  <si>
    <t>Nygade</t>
  </si>
  <si>
    <t>Schackenborgvej</t>
  </si>
  <si>
    <t>SdrStationsvej</t>
  </si>
  <si>
    <t>Elmevej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</si>
</sst>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#,##0.00000\ &quot;kr.&quot;;[Red]\-#,##0.00000\ &quot;kr.&quot;"/>
    <numFmt numFmtId="165" formatCode="_-* #,##0_-;\-* #,##0_-;_-* &quot;-&quot;??_-;_-@_-"/>
    <numFmt numFmtId="166" formatCode="General&quot; areas&quot;"/>
    <numFmt numFmtId="167" formatCode="General&quot; area&quot;"/>
    <numFmt numFmtId="168" formatCode="#,##0&quot; units&quot;;[Red]\-#,##0"/>
    <numFmt numFmtId="169" formatCode="#,##0&quot; sqm&quot;;[Red]\-#,##0"/>
    <numFmt numFmtId="170" formatCode="#,##0&quot;/sqm&quot;;[Red]\-#,##0"/>
    <numFmt numFmtId="171" formatCode="&quot;DKK &quot;#,##0&quot;/mth.&quot;;[Red]\-#,##0"/>
    <numFmt numFmtId="172" formatCode="&quot;DKK &quot;#,##0&quot;/psm&quot;;[Red]\-#,##0"/>
  </numFmts>
  <fonts count="21" x14ac:knownFonts="1">
    <font>
      <sz val="11"/>
      <color theme="1"/>
      <name val="Calibri"/>
      <family val="2"/>
      <scheme val="minor"/>
    </font>
    <font>
      <b/>
      <sz val="7"/>
      <color theme="0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7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7"/>
      <color rgb="FF0000FF"/>
      <name val="Calibri"/>
      <family val="2"/>
      <scheme val="minor"/>
    </font>
    <font>
      <sz val="5"/>
      <name val="Calibri"/>
      <family val="2"/>
      <scheme val="minor"/>
    </font>
    <font>
      <sz val="6"/>
      <color rgb="FF0000FF"/>
      <name val="Calibri"/>
      <family val="2"/>
      <scheme val="minor"/>
    </font>
    <font>
      <sz val="11"/>
      <color rgb="FF000000"/>
      <name val="Calibri"/>
      <family val="2"/>
    </font>
    <font>
      <sz val="8"/>
      <name val="Arial"/>
      <family val="2"/>
    </font>
    <font>
      <sz val="8"/>
      <color rgb="FF303336"/>
      <name val="Arial"/>
      <family val="2"/>
    </font>
    <font>
      <b/>
      <sz val="6"/>
      <color theme="0"/>
      <name val="Calibri"/>
      <family val="2"/>
    </font>
    <font>
      <sz val="6"/>
      <color theme="1"/>
      <name val="Calibri"/>
      <family val="2"/>
    </font>
    <font>
      <sz val="6"/>
      <color rgb="FF0000FF"/>
      <name val="Calibri"/>
      <family val="2"/>
    </font>
    <font>
      <b/>
      <sz val="6"/>
      <color rgb="FFFFFFFF"/>
      <name val="Calibri"/>
      <family val="2"/>
    </font>
    <font>
      <sz val="5"/>
      <color theme="1"/>
      <name val="Calibri"/>
      <family val="2"/>
      <scheme val="minor"/>
    </font>
    <font>
      <sz val="8"/>
      <color rgb="FF000000"/>
      <name val="Calibri"/>
      <family val="2"/>
    </font>
    <font>
      <sz val="9"/>
      <color rgb="FF0070C0"/>
      <name val="Calibri"/>
      <family val="2"/>
      <scheme val="minor"/>
    </font>
    <font>
      <sz val="9"/>
      <color rgb="FF000000"/>
      <name val="Calibri"/>
      <family val="2"/>
    </font>
    <font>
      <b/>
      <sz val="8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1F4E79"/>
        <bgColor indexed="64"/>
      </patternFill>
    </fill>
    <fill>
      <patternFill patternType="solid">
        <fgColor rgb="FF0F6292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4D91"/>
        <bgColor indexed="64"/>
      </patternFill>
    </fill>
    <fill>
      <patternFill patternType="solid">
        <fgColor theme="0" tint="-0.14999847407452621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/>
      <top style="medium">
        <color rgb="FF000000"/>
      </top>
      <bottom style="thin">
        <color indexed="64"/>
      </bottom>
      <diagonal/>
    </border>
    <border>
      <left/>
      <right/>
      <top style="medium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</borders>
  <cellStyleXfs count="4">
    <xf numFmtId="0" fontId="0" fillId="0" borderId="0"/>
    <xf numFmtId="0" fontId="7" fillId="0" borderId="0" applyNumberFormat="0" applyFill="0" applyBorder="0" applyAlignment="0" applyProtection="0"/>
    <xf numFmtId="9" fontId="5" fillId="0" borderId="0" applyFont="0" applyFill="0" applyBorder="0" applyAlignment="0" applyProtection="0"/>
    <xf numFmtId="0" fontId="18" fillId="7" borderId="0" applyNumberFormat="0" applyBorder="0" applyAlignment="0" applyProtection="0">
      <alignment horizontal="center" vertical="top"/>
    </xf>
  </cellStyleXfs>
  <cellXfs count="141">
    <xf numFmtId="0" fontId="0" fillId="0" borderId="0" xfId="0"/>
    <xf numFmtId="0" fontId="2" fillId="0" borderId="0" xfId="0" applyFont="1"/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right" vertical="center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left"/>
    </xf>
    <xf numFmtId="0" fontId="2" fillId="0" borderId="0" xfId="0" applyFont="1" applyBorder="1"/>
    <xf numFmtId="0" fontId="1" fillId="3" borderId="0" xfId="0" applyFont="1" applyFill="1" applyAlignment="1">
      <alignment horizontal="center"/>
    </xf>
    <xf numFmtId="0" fontId="2" fillId="0" borderId="0" xfId="0" applyFont="1" applyBorder="1" applyAlignment="1">
      <alignment vertical="center"/>
    </xf>
    <xf numFmtId="0" fontId="4" fillId="0" borderId="0" xfId="0" applyFont="1"/>
    <xf numFmtId="38" fontId="2" fillId="0" borderId="0" xfId="0" applyNumberFormat="1" applyFont="1"/>
    <xf numFmtId="0" fontId="1" fillId="2" borderId="0" xfId="0" applyFont="1" applyFill="1" applyAlignment="1">
      <alignment horizontal="center"/>
    </xf>
    <xf numFmtId="0" fontId="3" fillId="0" borderId="0" xfId="0" applyFont="1"/>
    <xf numFmtId="168" fontId="6" fillId="5" borderId="0" xfId="0" applyNumberFormat="1" applyFont="1" applyFill="1" applyAlignment="1">
      <alignment horizontal="center" vertical="center"/>
    </xf>
    <xf numFmtId="169" fontId="6" fillId="5" borderId="0" xfId="0" applyNumberFormat="1" applyFont="1" applyFill="1" applyAlignment="1">
      <alignment horizontal="center" vertical="center"/>
    </xf>
    <xf numFmtId="170" fontId="6" fillId="5" borderId="0" xfId="0" applyNumberFormat="1" applyFont="1" applyFill="1" applyAlignment="1">
      <alignment horizontal="center" vertical="center"/>
    </xf>
    <xf numFmtId="171" fontId="2" fillId="0" borderId="0" xfId="0" applyNumberFormat="1" applyFont="1"/>
    <xf numFmtId="0" fontId="2" fillId="0" borderId="1" xfId="0" applyFont="1" applyBorder="1" applyAlignment="1">
      <alignment vertical="center"/>
    </xf>
    <xf numFmtId="38" fontId="2" fillId="0" borderId="0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1" xfId="0" applyFont="1" applyBorder="1" applyAlignment="1">
      <alignment horizontal="right" vertical="center"/>
    </xf>
    <xf numFmtId="0" fontId="2" fillId="0" borderId="0" xfId="0" applyFont="1" applyBorder="1" applyAlignment="1">
      <alignment horizontal="right" vertical="center"/>
    </xf>
    <xf numFmtId="0" fontId="2" fillId="0" borderId="3" xfId="0" applyFont="1" applyBorder="1" applyAlignment="1">
      <alignment horizontal="right" vertical="center"/>
    </xf>
    <xf numFmtId="0" fontId="2" fillId="0" borderId="8" xfId="0" applyFont="1" applyBorder="1" applyAlignment="1">
      <alignment horizontal="right" vertical="center" indent="1"/>
    </xf>
    <xf numFmtId="0" fontId="2" fillId="0" borderId="11" xfId="0" applyFont="1" applyBorder="1" applyAlignment="1">
      <alignment horizontal="right" vertical="center" indent="1"/>
    </xf>
    <xf numFmtId="0" fontId="2" fillId="0" borderId="7" xfId="0" applyFont="1" applyBorder="1" applyAlignment="1">
      <alignment horizontal="right" vertical="center" indent="1"/>
    </xf>
    <xf numFmtId="38" fontId="2" fillId="0" borderId="1" xfId="0" applyNumberFormat="1" applyFont="1" applyBorder="1" applyAlignment="1">
      <alignment vertical="center"/>
    </xf>
    <xf numFmtId="38" fontId="2" fillId="0" borderId="3" xfId="0" applyNumberFormat="1" applyFont="1" applyBorder="1" applyAlignment="1">
      <alignment vertical="center"/>
    </xf>
    <xf numFmtId="38" fontId="2" fillId="0" borderId="0" xfId="0" applyNumberFormat="1" applyFont="1" applyBorder="1"/>
    <xf numFmtId="38" fontId="2" fillId="0" borderId="0" xfId="0" applyNumberFormat="1" applyFont="1" applyBorder="1" applyAlignment="1">
      <alignment vertical="center"/>
    </xf>
    <xf numFmtId="38" fontId="2" fillId="0" borderId="0" xfId="0" applyNumberFormat="1" applyFont="1"/>
    <xf numFmtId="3" fontId="4" fillId="0" borderId="0" xfId="0" applyNumberFormat="1" applyFont="1" applyBorder="1" applyAlignment="1">
      <alignment vertical="center"/>
    </xf>
    <xf numFmtId="10" fontId="4" fillId="0" borderId="0" xfId="2" applyNumberFormat="1" applyFont="1"/>
    <xf numFmtId="0" fontId="2" fillId="0" borderId="13" xfId="0" applyFont="1" applyBorder="1" applyAlignment="1">
      <alignment vertical="center"/>
    </xf>
    <xf numFmtId="38" fontId="2" fillId="0" borderId="13" xfId="0" applyNumberFormat="1" applyFont="1" applyBorder="1" applyAlignment="1">
      <alignment vertical="center"/>
    </xf>
    <xf numFmtId="0" fontId="2" fillId="0" borderId="13" xfId="0" applyFont="1" applyBorder="1" applyAlignment="1">
      <alignment horizontal="right" vertical="center"/>
    </xf>
    <xf numFmtId="0" fontId="2" fillId="0" borderId="14" xfId="0" applyFont="1" applyBorder="1" applyAlignment="1">
      <alignment horizontal="right" vertical="center" indent="1"/>
    </xf>
    <xf numFmtId="38" fontId="2" fillId="0" borderId="2" xfId="0" applyNumberFormat="1" applyFont="1" applyBorder="1" applyAlignment="1">
      <alignment vertical="center"/>
    </xf>
    <xf numFmtId="0" fontId="2" fillId="0" borderId="9" xfId="0" applyFont="1" applyBorder="1" applyAlignment="1">
      <alignment horizontal="right" vertical="center" indent="1"/>
    </xf>
    <xf numFmtId="38" fontId="2" fillId="0" borderId="1" xfId="0" applyNumberFormat="1" applyFont="1" applyBorder="1" applyAlignment="1">
      <alignment horizontal="right" vertical="center"/>
    </xf>
    <xf numFmtId="38" fontId="2" fillId="0" borderId="3" xfId="0" applyNumberFormat="1" applyFont="1" applyBorder="1" applyAlignment="1">
      <alignment vertical="center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166" fontId="4" fillId="0" borderId="0" xfId="0" applyNumberFormat="1" applyFont="1" applyAlignment="1">
      <alignment horizontal="left"/>
    </xf>
    <xf numFmtId="0" fontId="4" fillId="0" borderId="0" xfId="0" applyFont="1" applyAlignment="1">
      <alignment horizontal="right"/>
    </xf>
    <xf numFmtId="0" fontId="4" fillId="0" borderId="0" xfId="0" applyFont="1" applyBorder="1" applyAlignment="1">
      <alignment horizontal="center"/>
    </xf>
    <xf numFmtId="0" fontId="4" fillId="0" borderId="0" xfId="0" applyFont="1" applyBorder="1"/>
    <xf numFmtId="0" fontId="4" fillId="0" borderId="0" xfId="0" applyFont="1" applyBorder="1" applyAlignment="1">
      <alignment horizontal="right"/>
    </xf>
    <xf numFmtId="0" fontId="4" fillId="0" borderId="15" xfId="0" applyFont="1" applyFill="1" applyBorder="1" applyAlignment="1">
      <alignment horizontal="right"/>
    </xf>
    <xf numFmtId="172" fontId="8" fillId="5" borderId="15" xfId="0" applyNumberFormat="1" applyFont="1" applyFill="1" applyBorder="1" applyAlignment="1">
      <alignment horizontal="center" vertical="center"/>
    </xf>
    <xf numFmtId="169" fontId="8" fillId="5" borderId="15" xfId="0" applyNumberFormat="1" applyFont="1" applyFill="1" applyBorder="1" applyAlignment="1">
      <alignment horizontal="center" vertical="center"/>
    </xf>
    <xf numFmtId="168" fontId="8" fillId="5" borderId="15" xfId="0" applyNumberFormat="1" applyFont="1" applyFill="1" applyBorder="1" applyAlignment="1">
      <alignment horizontal="center" vertical="center"/>
    </xf>
    <xf numFmtId="0" fontId="4" fillId="0" borderId="15" xfId="0" applyFont="1" applyFill="1" applyBorder="1"/>
    <xf numFmtId="0" fontId="4" fillId="0" borderId="15" xfId="0" applyFont="1" applyFill="1" applyBorder="1" applyAlignment="1">
      <alignment horizontal="center"/>
    </xf>
    <xf numFmtId="0" fontId="4" fillId="0" borderId="16" xfId="0" applyFont="1" applyFill="1" applyBorder="1" applyAlignment="1">
      <alignment horizontal="left"/>
    </xf>
    <xf numFmtId="167" fontId="4" fillId="0" borderId="16" xfId="0" applyNumberFormat="1" applyFont="1" applyFill="1" applyBorder="1" applyAlignment="1">
      <alignment horizontal="left"/>
    </xf>
    <xf numFmtId="0" fontId="4" fillId="0" borderId="16" xfId="0" applyFont="1" applyFill="1" applyBorder="1"/>
    <xf numFmtId="0" fontId="4" fillId="0" borderId="16" xfId="0" applyFont="1" applyFill="1" applyBorder="1" applyAlignment="1">
      <alignment horizontal="center"/>
    </xf>
    <xf numFmtId="0" fontId="8" fillId="5" borderId="16" xfId="0" applyNumberFormat="1" applyFont="1" applyFill="1" applyBorder="1" applyAlignment="1">
      <alignment horizontal="center" vertical="center"/>
    </xf>
    <xf numFmtId="0" fontId="8" fillId="5" borderId="0" xfId="0" applyNumberFormat="1" applyFont="1" applyFill="1" applyAlignment="1">
      <alignment horizontal="center" vertical="center"/>
    </xf>
    <xf numFmtId="164" fontId="10" fillId="0" borderId="0" xfId="0" applyNumberFormat="1" applyFont="1" applyAlignment="1"/>
    <xf numFmtId="164" fontId="10" fillId="0" borderId="0" xfId="0" applyNumberFormat="1" applyFont="1" applyAlignment="1">
      <alignment vertical="center"/>
    </xf>
    <xf numFmtId="1" fontId="10" fillId="0" borderId="0" xfId="0" applyNumberFormat="1" applyFont="1" applyAlignment="1"/>
    <xf numFmtId="0" fontId="11" fillId="0" borderId="0" xfId="0" applyFont="1" applyAlignment="1">
      <alignment horizontal="left" vertical="center"/>
    </xf>
    <xf numFmtId="164" fontId="10" fillId="0" borderId="0" xfId="0" applyNumberFormat="1" applyFont="1"/>
    <xf numFmtId="1" fontId="10" fillId="0" borderId="0" xfId="0" applyNumberFormat="1" applyFont="1"/>
    <xf numFmtId="0" fontId="10" fillId="0" borderId="0" xfId="0" applyNumberFormat="1" applyFont="1" applyAlignment="1">
      <alignment horizontal="right"/>
    </xf>
    <xf numFmtId="0" fontId="1" fillId="2" borderId="0" xfId="0" applyFont="1" applyFill="1" applyAlignment="1">
      <alignment horizontal="left"/>
    </xf>
    <xf numFmtId="0" fontId="2" fillId="0" borderId="3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1" fillId="2" borderId="0" xfId="0" applyFont="1" applyFill="1" applyAlignment="1">
      <alignment horizontal="right"/>
    </xf>
    <xf numFmtId="0" fontId="13" fillId="0" borderId="0" xfId="0" applyFont="1" applyAlignment="1">
      <alignment vertical="center"/>
    </xf>
    <xf numFmtId="0" fontId="12" fillId="3" borderId="0" xfId="0" applyFont="1" applyFill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165" fontId="14" fillId="4" borderId="0" xfId="0" applyNumberFormat="1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13" fillId="0" borderId="0" xfId="0" applyFont="1" applyAlignment="1">
      <alignment horizontal="right" vertical="center"/>
    </xf>
    <xf numFmtId="3" fontId="13" fillId="0" borderId="0" xfId="0" applyNumberFormat="1" applyFont="1" applyAlignment="1">
      <alignment horizontal="right" vertical="center"/>
    </xf>
    <xf numFmtId="17" fontId="13" fillId="0" borderId="0" xfId="0" applyNumberFormat="1" applyFont="1" applyAlignment="1">
      <alignment horizontal="right" vertical="center"/>
    </xf>
    <xf numFmtId="3" fontId="13" fillId="0" borderId="0" xfId="0" applyNumberFormat="1" applyFont="1" applyAlignment="1">
      <alignment horizontal="right" vertical="center" indent="1"/>
    </xf>
    <xf numFmtId="0" fontId="15" fillId="6" borderId="17" xfId="0" applyFont="1" applyFill="1" applyBorder="1" applyAlignment="1">
      <alignment horizontal="center" vertical="center" readingOrder="1"/>
    </xf>
    <xf numFmtId="0" fontId="16" fillId="0" borderId="0" xfId="1" applyFont="1" applyAlignment="1">
      <alignment horizontal="left" vertical="center" indent="1"/>
    </xf>
    <xf numFmtId="0" fontId="16" fillId="0" borderId="0" xfId="1" applyFont="1" applyAlignment="1">
      <alignment horizontal="left" vertical="center"/>
    </xf>
    <xf numFmtId="0" fontId="2" fillId="0" borderId="0" xfId="0" quotePrefix="1" applyFont="1"/>
    <xf numFmtId="164" fontId="10" fillId="0" borderId="0" xfId="0" applyNumberFormat="1" applyFont="1" applyAlignment="1">
      <alignment horizontal="right"/>
    </xf>
    <xf numFmtId="38" fontId="2" fillId="0" borderId="0" xfId="0" applyNumberFormat="1" applyFont="1" applyBorder="1" applyAlignment="1">
      <alignment horizontal="right" vertical="center"/>
    </xf>
    <xf numFmtId="0" fontId="2" fillId="0" borderId="0" xfId="0" applyFont="1" applyBorder="1" applyAlignment="1">
      <alignment horizontal="right" vertical="center" indent="1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38" fontId="2" fillId="0" borderId="0" xfId="0" applyNumberFormat="1" applyFont="1"/>
    <xf numFmtId="0" fontId="1" fillId="2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1" fillId="2" borderId="0" xfId="0" applyFont="1" applyFill="1" applyAlignment="1">
      <alignment horizontal="right" indent="1"/>
    </xf>
    <xf numFmtId="0" fontId="2" fillId="0" borderId="0" xfId="0" applyFont="1" applyAlignment="1">
      <alignment horizontal="right" indent="1"/>
    </xf>
    <xf numFmtId="172" fontId="8" fillId="5" borderId="0" xfId="0" applyNumberFormat="1" applyFont="1" applyFill="1" applyBorder="1" applyAlignment="1">
      <alignment horizontal="center" vertical="center"/>
    </xf>
    <xf numFmtId="169" fontId="8" fillId="5" borderId="0" xfId="0" applyNumberFormat="1" applyFont="1" applyFill="1" applyBorder="1" applyAlignment="1">
      <alignment horizontal="center" vertical="center"/>
    </xf>
    <xf numFmtId="168" fontId="8" fillId="5" borderId="0" xfId="0" applyNumberFormat="1" applyFont="1" applyFill="1" applyBorder="1" applyAlignment="1">
      <alignment horizontal="center" vertical="center"/>
    </xf>
    <xf numFmtId="170" fontId="8" fillId="5" borderId="0" xfId="0" applyNumberFormat="1" applyFont="1" applyFill="1" applyAlignment="1">
      <alignment horizontal="center" vertical="center"/>
    </xf>
    <xf numFmtId="38" fontId="4" fillId="0" borderId="0" xfId="0" applyNumberFormat="1" applyFont="1"/>
    <xf numFmtId="168" fontId="4" fillId="0" borderId="0" xfId="0" applyNumberFormat="1" applyFont="1" applyBorder="1"/>
    <xf numFmtId="38" fontId="4" fillId="0" borderId="0" xfId="0" applyNumberFormat="1" applyFont="1" applyBorder="1"/>
    <xf numFmtId="38" fontId="8" fillId="4" borderId="0" xfId="0" applyNumberFormat="1" applyFont="1" applyFill="1" applyAlignment="1">
      <alignment horizontal="center"/>
    </xf>
    <xf numFmtId="0" fontId="12" fillId="3" borderId="3" xfId="0" applyFont="1" applyFill="1" applyBorder="1" applyAlignment="1">
      <alignment horizontal="left" vertical="center"/>
    </xf>
    <xf numFmtId="0" fontId="12" fillId="3" borderId="3" xfId="0" applyFont="1" applyFill="1" applyBorder="1" applyAlignment="1">
      <alignment horizontal="right" vertical="center"/>
    </xf>
    <xf numFmtId="3" fontId="12" fillId="3" borderId="3" xfId="0" applyNumberFormat="1" applyFont="1" applyFill="1" applyBorder="1" applyAlignment="1">
      <alignment horizontal="right" vertical="center"/>
    </xf>
    <xf numFmtId="17" fontId="12" fillId="3" borderId="3" xfId="0" applyNumberFormat="1" applyFont="1" applyFill="1" applyBorder="1" applyAlignment="1">
      <alignment horizontal="right" vertical="center"/>
    </xf>
    <xf numFmtId="0" fontId="1" fillId="2" borderId="18" xfId="0" applyFont="1" applyFill="1" applyBorder="1" applyAlignment="1">
      <alignment horizontal="center"/>
    </xf>
    <xf numFmtId="0" fontId="1" fillId="2" borderId="19" xfId="0" applyFont="1" applyFill="1" applyBorder="1" applyAlignment="1">
      <alignment horizontal="left"/>
    </xf>
    <xf numFmtId="0" fontId="1" fillId="2" borderId="19" xfId="0" applyFont="1" applyFill="1" applyBorder="1" applyAlignment="1">
      <alignment horizontal="right"/>
    </xf>
    <xf numFmtId="0" fontId="1" fillId="2" borderId="20" xfId="0" applyFont="1" applyFill="1" applyBorder="1" applyAlignment="1">
      <alignment horizontal="right" indent="1"/>
    </xf>
    <xf numFmtId="0" fontId="7" fillId="0" borderId="0" xfId="1" applyAlignment="1">
      <alignment horizontal="left" vertical="center"/>
    </xf>
    <xf numFmtId="0" fontId="2" fillId="0" borderId="21" xfId="0" applyFont="1" applyBorder="1" applyAlignment="1">
      <alignment horizontal="center"/>
    </xf>
    <xf numFmtId="0" fontId="2" fillId="0" borderId="0" xfId="0" applyFont="1" applyBorder="1" applyAlignment="1">
      <alignment horizontal="left"/>
    </xf>
    <xf numFmtId="0" fontId="2" fillId="0" borderId="0" xfId="0" applyFont="1" applyBorder="1" applyAlignment="1">
      <alignment horizontal="right"/>
    </xf>
    <xf numFmtId="0" fontId="2" fillId="0" borderId="22" xfId="0" applyFont="1" applyBorder="1" applyAlignment="1">
      <alignment horizontal="right" indent="1"/>
    </xf>
    <xf numFmtId="0" fontId="2" fillId="0" borderId="23" xfId="0" applyFont="1" applyBorder="1" applyAlignment="1">
      <alignment horizontal="center"/>
    </xf>
    <xf numFmtId="0" fontId="2" fillId="0" borderId="24" xfId="0" applyFont="1" applyBorder="1" applyAlignment="1">
      <alignment horizontal="left"/>
    </xf>
    <xf numFmtId="38" fontId="2" fillId="0" borderId="24" xfId="0" applyNumberFormat="1" applyFont="1" applyBorder="1" applyAlignment="1">
      <alignment vertical="center"/>
    </xf>
    <xf numFmtId="38" fontId="2" fillId="0" borderId="24" xfId="0" applyNumberFormat="1" applyFont="1" applyBorder="1"/>
    <xf numFmtId="0" fontId="2" fillId="0" borderId="24" xfId="0" applyFont="1" applyBorder="1" applyAlignment="1">
      <alignment horizontal="right"/>
    </xf>
    <xf numFmtId="0" fontId="2" fillId="0" borderId="25" xfId="0" applyFont="1" applyBorder="1" applyAlignment="1">
      <alignment horizontal="right" indent="1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left"/>
    </xf>
    <xf numFmtId="38" fontId="2" fillId="0" borderId="19" xfId="0" applyNumberFormat="1" applyFont="1" applyBorder="1" applyAlignment="1">
      <alignment vertical="center"/>
    </xf>
    <xf numFmtId="38" fontId="2" fillId="0" borderId="19" xfId="0" applyNumberFormat="1" applyFont="1" applyBorder="1"/>
    <xf numFmtId="0" fontId="2" fillId="0" borderId="19" xfId="0" applyFont="1" applyBorder="1" applyAlignment="1">
      <alignment horizontal="right"/>
    </xf>
    <xf numFmtId="0" fontId="2" fillId="0" borderId="19" xfId="0" applyFont="1" applyBorder="1"/>
    <xf numFmtId="0" fontId="2" fillId="0" borderId="20" xfId="0" applyFont="1" applyBorder="1" applyAlignment="1">
      <alignment horizontal="right" indent="1"/>
    </xf>
    <xf numFmtId="3" fontId="2" fillId="0" borderId="24" xfId="0" applyNumberFormat="1" applyFont="1" applyBorder="1"/>
    <xf numFmtId="0" fontId="2" fillId="0" borderId="24" xfId="0" applyFont="1" applyBorder="1"/>
    <xf numFmtId="0" fontId="12" fillId="3" borderId="26" xfId="0" applyFont="1" applyFill="1" applyBorder="1" applyAlignment="1">
      <alignment horizontal="center" vertical="center"/>
    </xf>
    <xf numFmtId="3" fontId="12" fillId="3" borderId="27" xfId="0" applyNumberFormat="1" applyFont="1" applyFill="1" applyBorder="1" applyAlignment="1">
      <alignment horizontal="right" vertical="center" indent="1"/>
    </xf>
  </cellXfs>
  <cellStyles count="4">
    <cellStyle name="Hyperlink" xfId="1" builtinId="8" customBuiltin="1"/>
    <cellStyle name="InputCell" xfId="3" xr:uid="{9E715B1A-F020-4B36-B905-5030BC8B06D3}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0F6292"/>
      <color rgb="FF1F4E79"/>
      <color rgb="FF004D91"/>
      <color rgb="FF406F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Relationship Id="rId14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904875</xdr:colOff>
          <xdr:row>23</xdr:row>
          <xdr:rowOff>0</xdr:rowOff>
        </xdr:from>
        <xdr:to>
          <xdr:col>8</xdr:col>
          <xdr:colOff>19050</xdr:colOff>
          <xdr:row>26</xdr:row>
          <xdr:rowOff>0</xdr:rowOff>
        </xdr:to>
        <xdr:sp macro="" textlink="">
          <xdr:nvSpPr>
            <xdr:cNvPr id="20499" name="Button 19" hidden="1">
              <a:extLst>
                <a:ext uri="{63B3BB69-23CF-44E3-9099-C40C66FF867C}">
                  <a14:compatExt spid="_x0000_s20499"/>
                </a:ext>
                <a:ext uri="{FF2B5EF4-FFF2-40B4-BE49-F238E27FC236}">
                  <a16:creationId xmlns:a16="http://schemas.microsoft.com/office/drawing/2014/main" id="{00000000-0008-0000-0000-00001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Boligportalen Lejecomps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23</xdr:row>
          <xdr:rowOff>0</xdr:rowOff>
        </xdr:from>
        <xdr:to>
          <xdr:col>11</xdr:col>
          <xdr:colOff>95250</xdr:colOff>
          <xdr:row>26</xdr:row>
          <xdr:rowOff>0</xdr:rowOff>
        </xdr:to>
        <xdr:sp macro="" textlink="">
          <xdr:nvSpPr>
            <xdr:cNvPr id="20508" name="Button 28" hidden="1">
              <a:extLst>
                <a:ext uri="{63B3BB69-23CF-44E3-9099-C40C66FF867C}">
                  <a14:compatExt spid="_x0000_s20508"/>
                </a:ext>
                <a:ext uri="{FF2B5EF4-FFF2-40B4-BE49-F238E27FC236}">
                  <a16:creationId xmlns:a16="http://schemas.microsoft.com/office/drawing/2014/main" id="{00000000-0008-0000-0000-00001C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 Billeder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304800</xdr:colOff>
          <xdr:row>23</xdr:row>
          <xdr:rowOff>0</xdr:rowOff>
        </xdr:from>
        <xdr:to>
          <xdr:col>16</xdr:col>
          <xdr:colOff>219075</xdr:colOff>
          <xdr:row>26</xdr:row>
          <xdr:rowOff>0</xdr:rowOff>
        </xdr:to>
        <xdr:sp macro="" textlink="">
          <xdr:nvSpPr>
            <xdr:cNvPr id="20572" name="Button 92" hidden="1">
              <a:extLst>
                <a:ext uri="{63B3BB69-23CF-44E3-9099-C40C66FF867C}">
                  <a14:compatExt spid="_x0000_s20572"/>
                </a:ext>
                <a:ext uri="{FF2B5EF4-FFF2-40B4-BE49-F238E27FC236}">
                  <a16:creationId xmlns:a16="http://schemas.microsoft.com/office/drawing/2014/main" id="{00000000-0008-0000-0000-00005C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Boligsurf Lejecomps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304800</xdr:colOff>
          <xdr:row>23</xdr:row>
          <xdr:rowOff>0</xdr:rowOff>
        </xdr:from>
        <xdr:to>
          <xdr:col>22</xdr:col>
          <xdr:colOff>104775</xdr:colOff>
          <xdr:row>26</xdr:row>
          <xdr:rowOff>0</xdr:rowOff>
        </xdr:to>
        <xdr:sp macro="" textlink="">
          <xdr:nvSpPr>
            <xdr:cNvPr id="20573" name="Button 93" hidden="1">
              <a:extLst>
                <a:ext uri="{63B3BB69-23CF-44E3-9099-C40C66FF867C}">
                  <a14:compatExt spid="_x0000_s20573"/>
                </a:ext>
                <a:ext uri="{FF2B5EF4-FFF2-40B4-BE49-F238E27FC236}">
                  <a16:creationId xmlns:a16="http://schemas.microsoft.com/office/drawing/2014/main" id="{00000000-0008-0000-0000-00005D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Lejebolig Lejecomps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0</xdr:row>
          <xdr:rowOff>114300</xdr:rowOff>
        </xdr:from>
        <xdr:to>
          <xdr:col>11</xdr:col>
          <xdr:colOff>228600</xdr:colOff>
          <xdr:row>0</xdr:row>
          <xdr:rowOff>457200</xdr:rowOff>
        </xdr:to>
        <xdr:sp macro="" textlink="">
          <xdr:nvSpPr>
            <xdr:cNvPr id="20574" name="Button 94" hidden="1">
              <a:extLst>
                <a:ext uri="{63B3BB69-23CF-44E3-9099-C40C66FF867C}">
                  <a14:compatExt spid="_x0000_s20574"/>
                </a:ext>
                <a:ext uri="{FF2B5EF4-FFF2-40B4-BE49-F238E27FC236}">
                  <a16:creationId xmlns:a16="http://schemas.microsoft.com/office/drawing/2014/main" id="{00000000-0008-0000-0000-00005E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 Billeder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27</xdr:row>
          <xdr:rowOff>114300</xdr:rowOff>
        </xdr:from>
        <xdr:to>
          <xdr:col>11</xdr:col>
          <xdr:colOff>228600</xdr:colOff>
          <xdr:row>27</xdr:row>
          <xdr:rowOff>457200</xdr:rowOff>
        </xdr:to>
        <xdr:sp macro="" textlink="">
          <xdr:nvSpPr>
            <xdr:cNvPr id="20715" name="Button 235" hidden="1">
              <a:extLst>
                <a:ext uri="{63B3BB69-23CF-44E3-9099-C40C66FF867C}">
                  <a14:compatExt spid="_x0000_s20715"/>
                </a:ext>
                <a:ext uri="{FF2B5EF4-FFF2-40B4-BE49-F238E27FC236}">
                  <a16:creationId xmlns:a16="http://schemas.microsoft.com/office/drawing/2014/main" id="{00000000-0008-0000-0000-0000EB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 Billeder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27</xdr:row>
          <xdr:rowOff>114300</xdr:rowOff>
        </xdr:from>
        <xdr:to>
          <xdr:col>11</xdr:col>
          <xdr:colOff>228600</xdr:colOff>
          <xdr:row>27</xdr:row>
          <xdr:rowOff>457200</xdr:rowOff>
        </xdr:to>
        <xdr:sp macro="" textlink="">
          <xdr:nvSpPr>
            <xdr:cNvPr id="20811" name="Button 331" hidden="1">
              <a:extLst>
                <a:ext uri="{63B3BB69-23CF-44E3-9099-C40C66FF867C}">
                  <a14:compatExt spid="_x0000_s20811"/>
                </a:ext>
                <a:ext uri="{FF2B5EF4-FFF2-40B4-BE49-F238E27FC236}">
                  <a16:creationId xmlns:a16="http://schemas.microsoft.com/office/drawing/2014/main" id="{00000000-0008-0000-0000-00004B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 Billeder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27</xdr:row>
          <xdr:rowOff>114300</xdr:rowOff>
        </xdr:from>
        <xdr:to>
          <xdr:col>11</xdr:col>
          <xdr:colOff>228600</xdr:colOff>
          <xdr:row>27</xdr:row>
          <xdr:rowOff>457200</xdr:rowOff>
        </xdr:to>
        <xdr:sp macro="" textlink="">
          <xdr:nvSpPr>
            <xdr:cNvPr id="20913" name="Button 433" hidden="1">
              <a:extLst>
                <a:ext uri="{63B3BB69-23CF-44E3-9099-C40C66FF867C}">
                  <a14:compatExt spid="_x0000_s20913"/>
                </a:ext>
                <a:ext uri="{FF2B5EF4-FFF2-40B4-BE49-F238E27FC236}">
                  <a16:creationId xmlns:a16="http://schemas.microsoft.com/office/drawing/2014/main" id="{00000000-0008-0000-0000-0000B1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 Billeder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27</xdr:row>
          <xdr:rowOff>114300</xdr:rowOff>
        </xdr:from>
        <xdr:to>
          <xdr:col>11</xdr:col>
          <xdr:colOff>228600</xdr:colOff>
          <xdr:row>27</xdr:row>
          <xdr:rowOff>457200</xdr:rowOff>
        </xdr:to>
        <xdr:sp macro="" textlink="">
          <xdr:nvSpPr>
            <xdr:cNvPr id="21087" name="Button 607" hidden="1">
              <a:extLst>
                <a:ext uri="{63B3BB69-23CF-44E3-9099-C40C66FF867C}">
                  <a14:compatExt spid="_x0000_s21087"/>
                </a:ext>
                <a:ext uri="{FF2B5EF4-FFF2-40B4-BE49-F238E27FC236}">
                  <a16:creationId xmlns:a16="http://schemas.microsoft.com/office/drawing/2014/main" id="{00000000-0008-0000-0000-00005F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 Billeder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27</xdr:row>
          <xdr:rowOff>114300</xdr:rowOff>
        </xdr:from>
        <xdr:to>
          <xdr:col>11</xdr:col>
          <xdr:colOff>228600</xdr:colOff>
          <xdr:row>27</xdr:row>
          <xdr:rowOff>457200</xdr:rowOff>
        </xdr:to>
        <xdr:sp macro="" textlink="">
          <xdr:nvSpPr>
            <xdr:cNvPr id="21105" name="Button 625" hidden="1">
              <a:extLst>
                <a:ext uri="{63B3BB69-23CF-44E3-9099-C40C66FF867C}">
                  <a14:compatExt spid="_x0000_s21105"/>
                </a:ext>
                <a:ext uri="{FF2B5EF4-FFF2-40B4-BE49-F238E27FC236}">
                  <a16:creationId xmlns:a16="http://schemas.microsoft.com/office/drawing/2014/main" id="{00000000-0008-0000-0000-000071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 Billeder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27</xdr:row>
          <xdr:rowOff>114300</xdr:rowOff>
        </xdr:from>
        <xdr:to>
          <xdr:col>11</xdr:col>
          <xdr:colOff>228600</xdr:colOff>
          <xdr:row>27</xdr:row>
          <xdr:rowOff>457200</xdr:rowOff>
        </xdr:to>
        <xdr:sp macro="" textlink="">
          <xdr:nvSpPr>
            <xdr:cNvPr id="21118" name="Button 638" hidden="1">
              <a:extLst>
                <a:ext uri="{63B3BB69-23CF-44E3-9099-C40C66FF867C}">
                  <a14:compatExt spid="_x0000_s21118"/>
                </a:ext>
                <a:ext uri="{FF2B5EF4-FFF2-40B4-BE49-F238E27FC236}">
                  <a16:creationId xmlns:a16="http://schemas.microsoft.com/office/drawing/2014/main" id="{00000000-0008-0000-0000-00007E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 Billeder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27</xdr:row>
          <xdr:rowOff>114300</xdr:rowOff>
        </xdr:from>
        <xdr:to>
          <xdr:col>11</xdr:col>
          <xdr:colOff>228600</xdr:colOff>
          <xdr:row>27</xdr:row>
          <xdr:rowOff>457200</xdr:rowOff>
        </xdr:to>
        <xdr:sp macro="" textlink="">
          <xdr:nvSpPr>
            <xdr:cNvPr id="21170" name="Button 690" hidden="1">
              <a:extLst>
                <a:ext uri="{63B3BB69-23CF-44E3-9099-C40C66FF867C}">
                  <a14:compatExt spid="_x0000_s21170"/>
                </a:ext>
                <a:ext uri="{FF2B5EF4-FFF2-40B4-BE49-F238E27FC236}">
                  <a16:creationId xmlns:a16="http://schemas.microsoft.com/office/drawing/2014/main" id="{00000000-0008-0000-0000-0000B2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 Billeder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27</xdr:row>
          <xdr:rowOff>114300</xdr:rowOff>
        </xdr:from>
        <xdr:to>
          <xdr:col>11</xdr:col>
          <xdr:colOff>228600</xdr:colOff>
          <xdr:row>27</xdr:row>
          <xdr:rowOff>457200</xdr:rowOff>
        </xdr:to>
        <xdr:sp macro="" textlink="">
          <xdr:nvSpPr>
            <xdr:cNvPr id="21218" name="Button 738" hidden="1">
              <a:extLst>
                <a:ext uri="{63B3BB69-23CF-44E3-9099-C40C66FF867C}">
                  <a14:compatExt spid="_x0000_s21218"/>
                </a:ext>
                <a:ext uri="{FF2B5EF4-FFF2-40B4-BE49-F238E27FC236}">
                  <a16:creationId xmlns:a16="http://schemas.microsoft.com/office/drawing/2014/main" id="{00000000-0008-0000-0000-0000E2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 Billeder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27</xdr:row>
          <xdr:rowOff>114300</xdr:rowOff>
        </xdr:from>
        <xdr:to>
          <xdr:col>11</xdr:col>
          <xdr:colOff>228600</xdr:colOff>
          <xdr:row>27</xdr:row>
          <xdr:rowOff>457200</xdr:rowOff>
        </xdr:to>
        <xdr:sp macro="" textlink="">
          <xdr:nvSpPr>
            <xdr:cNvPr id="21230" name="Button 750" hidden="1">
              <a:extLst>
                <a:ext uri="{63B3BB69-23CF-44E3-9099-C40C66FF867C}">
                  <a14:compatExt spid="_x0000_s21230"/>
                </a:ext>
                <a:ext uri="{FF2B5EF4-FFF2-40B4-BE49-F238E27FC236}">
                  <a16:creationId xmlns:a16="http://schemas.microsoft.com/office/drawing/2014/main" id="{00000000-0008-0000-0000-0000EE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 Billeder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27</xdr:row>
          <xdr:rowOff>114300</xdr:rowOff>
        </xdr:from>
        <xdr:to>
          <xdr:col>11</xdr:col>
          <xdr:colOff>228600</xdr:colOff>
          <xdr:row>27</xdr:row>
          <xdr:rowOff>457200</xdr:rowOff>
        </xdr:to>
        <xdr:sp macro="" textlink="">
          <xdr:nvSpPr>
            <xdr:cNvPr id="21247" name="Button 767" hidden="1">
              <a:extLst>
                <a:ext uri="{63B3BB69-23CF-44E3-9099-C40C66FF867C}">
                  <a14:compatExt spid="_x0000_s21247"/>
                </a:ext>
                <a:ext uri="{FF2B5EF4-FFF2-40B4-BE49-F238E27FC236}">
                  <a16:creationId xmlns:a16="http://schemas.microsoft.com/office/drawing/2014/main" id="{00000000-0008-0000-0000-0000FF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 Billeder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27</xdr:row>
          <xdr:rowOff>114300</xdr:rowOff>
        </xdr:from>
        <xdr:to>
          <xdr:col>11</xdr:col>
          <xdr:colOff>228600</xdr:colOff>
          <xdr:row>27</xdr:row>
          <xdr:rowOff>457200</xdr:rowOff>
        </xdr:to>
        <xdr:sp macro="" textlink="">
          <xdr:nvSpPr>
            <xdr:cNvPr id="21299" name="Button 819" hidden="1">
              <a:extLst>
                <a:ext uri="{63B3BB69-23CF-44E3-9099-C40C66FF867C}">
                  <a14:compatExt spid="_x0000_s21299"/>
                </a:ext>
                <a:ext uri="{FF2B5EF4-FFF2-40B4-BE49-F238E27FC236}">
                  <a16:creationId xmlns:a16="http://schemas.microsoft.com/office/drawing/2014/main" id="{00000000-0008-0000-0000-0000335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 Billeder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342900</xdr:rowOff>
        </xdr:from>
        <xdr:to>
          <xdr:col>2</xdr:col>
          <xdr:colOff>28575</xdr:colOff>
          <xdr:row>0</xdr:row>
          <xdr:rowOff>704850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1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</xdr:colOff>
      <xdr:row>0</xdr:row>
      <xdr:rowOff>0</xdr:rowOff>
    </xdr:from>
    <xdr:to>
      <xdr:col>7</xdr:col>
      <xdr:colOff>463794</xdr:colOff>
      <xdr:row>0</xdr:row>
      <xdr:rowOff>307429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5314949" cy="30742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342900</xdr:rowOff>
        </xdr:from>
        <xdr:to>
          <xdr:col>0</xdr:col>
          <xdr:colOff>914400</xdr:colOff>
          <xdr:row>0</xdr:row>
          <xdr:rowOff>704850</xdr:rowOff>
        </xdr:to>
        <xdr:sp macro="" textlink="">
          <xdr:nvSpPr>
            <xdr:cNvPr id="19462" name="Button 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1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Nulstil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0</xdr:row>
          <xdr:rowOff>342900</xdr:rowOff>
        </xdr:from>
        <xdr:to>
          <xdr:col>7</xdr:col>
          <xdr:colOff>361950</xdr:colOff>
          <xdr:row>0</xdr:row>
          <xdr:rowOff>704850</xdr:rowOff>
        </xdr:to>
        <xdr:sp macro="" textlink="">
          <xdr:nvSpPr>
            <xdr:cNvPr id="19463" name="Button 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1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DK Tal Format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466725</xdr:colOff>
          <xdr:row>0</xdr:row>
          <xdr:rowOff>342900</xdr:rowOff>
        </xdr:from>
        <xdr:to>
          <xdr:col>9</xdr:col>
          <xdr:colOff>676275</xdr:colOff>
          <xdr:row>0</xdr:row>
          <xdr:rowOff>704850</xdr:rowOff>
        </xdr:to>
        <xdr:sp macro="" textlink="">
          <xdr:nvSpPr>
            <xdr:cNvPr id="19464" name="Button 8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01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Lav tabel igen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0</xdr:row>
          <xdr:rowOff>342900</xdr:rowOff>
        </xdr:from>
        <xdr:to>
          <xdr:col>10</xdr:col>
          <xdr:colOff>981075</xdr:colOff>
          <xdr:row>0</xdr:row>
          <xdr:rowOff>704850</xdr:rowOff>
        </xdr:to>
        <xdr:sp macro="" textlink="">
          <xdr:nvSpPr>
            <xdr:cNvPr id="19465" name="Button 9" hidden="1">
              <a:extLst>
                <a:ext uri="{63B3BB69-23CF-44E3-9099-C40C66FF867C}">
                  <a14:compatExt spid="_x0000_s19465"/>
                </a:ext>
                <a:ext uri="{FF2B5EF4-FFF2-40B4-BE49-F238E27FC236}">
                  <a16:creationId xmlns:a16="http://schemas.microsoft.com/office/drawing/2014/main" id="{00000000-0008-0000-0100-00000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Næste Tomme Række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boligportal.dk/lejligheder/slagelse/76m2-3-vaer-id-5090636" TargetMode="External"/><Relationship Id="rId21" Type="http://schemas.openxmlformats.org/officeDocument/2006/relationships/hyperlink" Target="https://www.boligportal.dk/lejligheder/slagelse/79m2-3-vaer-id-5090627" TargetMode="External"/><Relationship Id="rId42" Type="http://schemas.openxmlformats.org/officeDocument/2006/relationships/hyperlink" Target="https://www.boligportal.dk/lejligheder/slagelse/79m2-2-vaer-id-5197437" TargetMode="External"/><Relationship Id="rId47" Type="http://schemas.openxmlformats.org/officeDocument/2006/relationships/hyperlink" Target="https://www.boligportal.dk/lejligheder/slagelse/69m2-2-vaer-id-5200630" TargetMode="External"/><Relationship Id="rId63" Type="http://schemas.openxmlformats.org/officeDocument/2006/relationships/hyperlink" Target="https://www.boligportal.dk/lejligheder/slagelse/103m2-4-vaer-id-5204011" TargetMode="External"/><Relationship Id="rId68" Type="http://schemas.openxmlformats.org/officeDocument/2006/relationships/hyperlink" Target="https://www.boligportal.dk/lejligheder/slagelse/51m2-2-vaer-id-5207676" TargetMode="External"/><Relationship Id="rId84" Type="http://schemas.openxmlformats.org/officeDocument/2006/relationships/ctrlProp" Target="../ctrlProps/ctrlProp13.xml"/><Relationship Id="rId16" Type="http://schemas.openxmlformats.org/officeDocument/2006/relationships/hyperlink" Target="https://www.lejebolig.dk/lejebolig/1507602/3-vaerelser-for-13800-kr-pr-maaned" TargetMode="External"/><Relationship Id="rId11" Type="http://schemas.openxmlformats.org/officeDocument/2006/relationships/hyperlink" Target="https://www.lejebolig.dk/lejebolig/1513790/stor-lys-bolig-i-roedovre" TargetMode="External"/><Relationship Id="rId32" Type="http://schemas.openxmlformats.org/officeDocument/2006/relationships/hyperlink" Target="https://www.boligportal.dk/lejligheder/slagelse/168m2-5-vaer-id-5187816" TargetMode="External"/><Relationship Id="rId37" Type="http://schemas.openxmlformats.org/officeDocument/2006/relationships/hyperlink" Target="https://www.boligportal.dk/lejligheder/slagelse/76m2-3-vaer-id-5194668" TargetMode="External"/><Relationship Id="rId53" Type="http://schemas.openxmlformats.org/officeDocument/2006/relationships/hyperlink" Target="https://www.boligportal.dk/lejligheder/slagelse/101m2-3-vaer-id-4603489" TargetMode="External"/><Relationship Id="rId58" Type="http://schemas.openxmlformats.org/officeDocument/2006/relationships/hyperlink" Target="https://www.boligportal.dk/lejligheder/slagelse/108m2-4-vaer-id-4905826" TargetMode="External"/><Relationship Id="rId74" Type="http://schemas.openxmlformats.org/officeDocument/2006/relationships/ctrlProp" Target="../ctrlProps/ctrlProp3.xml"/><Relationship Id="rId79" Type="http://schemas.openxmlformats.org/officeDocument/2006/relationships/ctrlProp" Target="../ctrlProps/ctrlProp8.xml"/><Relationship Id="rId5" Type="http://schemas.openxmlformats.org/officeDocument/2006/relationships/hyperlink" Target="https://www.lejebolig.dk/lejebolig/1512140/103-m2-lejlighed-paa-kaffevej" TargetMode="External"/><Relationship Id="rId19" Type="http://schemas.openxmlformats.org/officeDocument/2006/relationships/hyperlink" Target="https://www.boligportal.dk/lejligheder/slagelse/79m2-3-vaer-id-5090620" TargetMode="External"/><Relationship Id="rId14" Type="http://schemas.openxmlformats.org/officeDocument/2006/relationships/hyperlink" Target="https://www.lejebolig.dk/lejebolig/1513770/3-vaerelses-lejlighed-i-irmabyen" TargetMode="External"/><Relationship Id="rId22" Type="http://schemas.openxmlformats.org/officeDocument/2006/relationships/hyperlink" Target="https://www.boligportal.dk/lejligheder/slagelse/76m2-3-vaer-id-5090631" TargetMode="External"/><Relationship Id="rId27" Type="http://schemas.openxmlformats.org/officeDocument/2006/relationships/hyperlink" Target="https://www.boligportal.dk/lejligheder/slagelse/76m2-3-vaer-id-5090637" TargetMode="External"/><Relationship Id="rId30" Type="http://schemas.openxmlformats.org/officeDocument/2006/relationships/hyperlink" Target="https://www.boligportal.dk/lejligheder/slagelse/178m2-5-vaer-id-4977566" TargetMode="External"/><Relationship Id="rId35" Type="http://schemas.openxmlformats.org/officeDocument/2006/relationships/hyperlink" Target="https://www.boligportal.dk/lejligheder/slagelse/86m2-3-vaer-id-5192522" TargetMode="External"/><Relationship Id="rId43" Type="http://schemas.openxmlformats.org/officeDocument/2006/relationships/hyperlink" Target="https://www.boligportal.dk/lejligheder/slagelse/68m2-3-vaer-id-5198024" TargetMode="External"/><Relationship Id="rId48" Type="http://schemas.openxmlformats.org/officeDocument/2006/relationships/hyperlink" Target="https://www.boligportal.dk/r%C3%A6kkehuse/slagelse/104m2-3-vaer-id-5200705" TargetMode="External"/><Relationship Id="rId56" Type="http://schemas.openxmlformats.org/officeDocument/2006/relationships/hyperlink" Target="https://www.boligportal.dk/lejligheder/slagelse/130m2-4-vaer-id-3150133" TargetMode="External"/><Relationship Id="rId64" Type="http://schemas.openxmlformats.org/officeDocument/2006/relationships/hyperlink" Target="https://www.boligportal.dk/lejligheder/slagelse/65m2-3-vaer-id-5207243" TargetMode="External"/><Relationship Id="rId69" Type="http://schemas.openxmlformats.org/officeDocument/2006/relationships/printerSettings" Target="../printerSettings/printerSettings1.bin"/><Relationship Id="rId77" Type="http://schemas.openxmlformats.org/officeDocument/2006/relationships/ctrlProp" Target="../ctrlProps/ctrlProp6.xml"/><Relationship Id="rId8" Type="http://schemas.openxmlformats.org/officeDocument/2006/relationships/hyperlink" Target="https://www.lejebolig.dk/lejebolig/1513346/3-vaerelses-lejlighed-i-irmabyen" TargetMode="External"/><Relationship Id="rId51" Type="http://schemas.openxmlformats.org/officeDocument/2006/relationships/hyperlink" Target="https://www.boligportal.dk/lejligheder/slagelse/210m2-5-vaer-id-5136034" TargetMode="External"/><Relationship Id="rId72" Type="http://schemas.openxmlformats.org/officeDocument/2006/relationships/ctrlProp" Target="../ctrlProps/ctrlProp1.xml"/><Relationship Id="rId80" Type="http://schemas.openxmlformats.org/officeDocument/2006/relationships/ctrlProp" Target="../ctrlProps/ctrlProp9.xml"/><Relationship Id="rId85" Type="http://schemas.openxmlformats.org/officeDocument/2006/relationships/ctrlProp" Target="../ctrlProps/ctrlProp14.xml"/><Relationship Id="rId3" Type="http://schemas.openxmlformats.org/officeDocument/2006/relationships/hyperlink" Target="https://www.lejebolig.dk/lejebolig/1514219/76-m2-lejlighed-i-glostrup" TargetMode="External"/><Relationship Id="rId12" Type="http://schemas.openxmlformats.org/officeDocument/2006/relationships/hyperlink" Target="https://www.lejebolig.dk/lejebolig/1513789/stor-lys-bolig-i-roedovre" TargetMode="External"/><Relationship Id="rId17" Type="http://schemas.openxmlformats.org/officeDocument/2006/relationships/hyperlink" Target="https://www.lejebolig.dk/lejebolig/1478507/lejlighed-paa-islevbrovej-i-roedovre" TargetMode="External"/><Relationship Id="rId25" Type="http://schemas.openxmlformats.org/officeDocument/2006/relationships/hyperlink" Target="https://www.boligportal.dk/lejligheder/slagelse/79m2-3-vaer-id-5090635" TargetMode="External"/><Relationship Id="rId33" Type="http://schemas.openxmlformats.org/officeDocument/2006/relationships/hyperlink" Target="https://www.boligportal.dk/lejligheder/slagelse/81m2-1-vaer-id-5171273" TargetMode="External"/><Relationship Id="rId38" Type="http://schemas.openxmlformats.org/officeDocument/2006/relationships/hyperlink" Target="https://www.boligportal.dk/lejligheder/slagelse/100m2-3-vaer-id-5195180" TargetMode="External"/><Relationship Id="rId46" Type="http://schemas.openxmlformats.org/officeDocument/2006/relationships/hyperlink" Target="https://www.boligportal.dk/lejligheder/slagelse/68m2-2-vaer-id-4658399" TargetMode="External"/><Relationship Id="rId59" Type="http://schemas.openxmlformats.org/officeDocument/2006/relationships/hyperlink" Target="https://www.boligportal.dk/lejligheder/slagelse/72m2-3-vaer-id-5204248" TargetMode="External"/><Relationship Id="rId67" Type="http://schemas.openxmlformats.org/officeDocument/2006/relationships/hyperlink" Target="https://www.boligportal.dk/lejligheder/slagelse/122m2-4-vaer-id-5207668" TargetMode="External"/><Relationship Id="rId20" Type="http://schemas.openxmlformats.org/officeDocument/2006/relationships/hyperlink" Target="https://www.boligportal.dk/lejligheder/slagelse/76m2-3-vaer-id-5090622" TargetMode="External"/><Relationship Id="rId41" Type="http://schemas.openxmlformats.org/officeDocument/2006/relationships/hyperlink" Target="https://www.boligportal.dk/lejligheder/slagelse/76m2-3-vaer-id-5090619" TargetMode="External"/><Relationship Id="rId54" Type="http://schemas.openxmlformats.org/officeDocument/2006/relationships/hyperlink" Target="https://www.boligportal.dk/lejligheder/slagelse/53m2-2-vaer-id-5201667" TargetMode="External"/><Relationship Id="rId62" Type="http://schemas.openxmlformats.org/officeDocument/2006/relationships/hyperlink" Target="https://www.boligportal.dk/lejligheder/slagelse/80m2-3-vaer-id-5206363" TargetMode="External"/><Relationship Id="rId70" Type="http://schemas.openxmlformats.org/officeDocument/2006/relationships/drawing" Target="../drawings/drawing1.xml"/><Relationship Id="rId75" Type="http://schemas.openxmlformats.org/officeDocument/2006/relationships/ctrlProp" Target="../ctrlProps/ctrlProp4.xml"/><Relationship Id="rId83" Type="http://schemas.openxmlformats.org/officeDocument/2006/relationships/ctrlProp" Target="../ctrlProps/ctrlProp12.xml"/><Relationship Id="rId1" Type="http://schemas.openxmlformats.org/officeDocument/2006/relationships/hyperlink" Target="https://www.lejebolig.dk/lejebolig/1507602/3-vaerelser-for-13800-kr-pr-maaned" TargetMode="External"/><Relationship Id="rId6" Type="http://schemas.openxmlformats.org/officeDocument/2006/relationships/hyperlink" Target="https://www.lejebolig.dk/lejebolig/1512701/lejlighed-paa-kaffevej-i-roedovre" TargetMode="External"/><Relationship Id="rId15" Type="http://schemas.openxmlformats.org/officeDocument/2006/relationships/hyperlink" Target="https://www.lejebolig.dk/lejebolig/1514816/lejlighed-paa-kaffevej-i-roedovre" TargetMode="External"/><Relationship Id="rId23" Type="http://schemas.openxmlformats.org/officeDocument/2006/relationships/hyperlink" Target="https://www.boligportal.dk/lejligheder/slagelse/76m2-3-vaer-id-5090632" TargetMode="External"/><Relationship Id="rId28" Type="http://schemas.openxmlformats.org/officeDocument/2006/relationships/hyperlink" Target="https://www.boligportal.dk/lejligheder/slagelse/102m2-2-vaer-id-5171230" TargetMode="External"/><Relationship Id="rId36" Type="http://schemas.openxmlformats.org/officeDocument/2006/relationships/hyperlink" Target="https://www.boligportal.dk/lejligheder/slagelse/99m2-4-vaer-id-5194228" TargetMode="External"/><Relationship Id="rId49" Type="http://schemas.openxmlformats.org/officeDocument/2006/relationships/hyperlink" Target="https://www.boligportal.dk/lejligheder/slagelse/86m2-3-vaer-id-5200742" TargetMode="External"/><Relationship Id="rId57" Type="http://schemas.openxmlformats.org/officeDocument/2006/relationships/hyperlink" Target="https://www.boligportal.dk/lejligheder/slagelse/118m2-4-vaer-id-3858796" TargetMode="External"/><Relationship Id="rId10" Type="http://schemas.openxmlformats.org/officeDocument/2006/relationships/hyperlink" Target="https://www.lejebolig.dk/lejebolig/1513791/moderne-bolig-i-roedovre" TargetMode="External"/><Relationship Id="rId31" Type="http://schemas.openxmlformats.org/officeDocument/2006/relationships/hyperlink" Target="https://www.boligportal.dk/lejligheder/slagelse/97m2-3-vaer-id-5184540" TargetMode="External"/><Relationship Id="rId44" Type="http://schemas.openxmlformats.org/officeDocument/2006/relationships/hyperlink" Target="https://www.boligportal.dk/lejligheder/slagelse/79m2-2-vaer-id-5198228" TargetMode="External"/><Relationship Id="rId52" Type="http://schemas.openxmlformats.org/officeDocument/2006/relationships/hyperlink" Target="https://www.boligportal.dk/lejligheder/slagelse/100m2-4-vaer-id-5201387" TargetMode="External"/><Relationship Id="rId60" Type="http://schemas.openxmlformats.org/officeDocument/2006/relationships/hyperlink" Target="https://www.boligportal.dk/lejligheder/slagelse/91m2-3-vaer-id-4611908" TargetMode="External"/><Relationship Id="rId65" Type="http://schemas.openxmlformats.org/officeDocument/2006/relationships/hyperlink" Target="https://www.boligportal.dk/lejligheder/slagelse/60m2-2-vaer-id-5207245" TargetMode="External"/><Relationship Id="rId73" Type="http://schemas.openxmlformats.org/officeDocument/2006/relationships/ctrlProp" Target="../ctrlProps/ctrlProp2.xml"/><Relationship Id="rId78" Type="http://schemas.openxmlformats.org/officeDocument/2006/relationships/ctrlProp" Target="../ctrlProps/ctrlProp7.xml"/><Relationship Id="rId81" Type="http://schemas.openxmlformats.org/officeDocument/2006/relationships/ctrlProp" Target="../ctrlProps/ctrlProp10.xml"/><Relationship Id="rId86" Type="http://schemas.openxmlformats.org/officeDocument/2006/relationships/ctrlProp" Target="../ctrlProps/ctrlProp15.xml"/><Relationship Id="rId4" Type="http://schemas.openxmlformats.org/officeDocument/2006/relationships/hyperlink" Target="https://www.lejebolig.dk/lejebolig/1511521/lejlighed-paa-kaffevej-i-roedovre" TargetMode="External"/><Relationship Id="rId9" Type="http://schemas.openxmlformats.org/officeDocument/2006/relationships/hyperlink" Target="https://www.lejebolig.dk/lejebolig/1513788/stor-lys-bolig-i-roedovre" TargetMode="External"/><Relationship Id="rId13" Type="http://schemas.openxmlformats.org/officeDocument/2006/relationships/hyperlink" Target="https://www.lejebolig.dk/lejebolig/1509729/105-m2-lejlighed-paa-kaffevej" TargetMode="External"/><Relationship Id="rId18" Type="http://schemas.openxmlformats.org/officeDocument/2006/relationships/hyperlink" Target="https://www.boligportal.dk/lejligheder/slagelse/76m2-3-vaer-id-5090615" TargetMode="External"/><Relationship Id="rId39" Type="http://schemas.openxmlformats.org/officeDocument/2006/relationships/hyperlink" Target="https://www.boligportal.dk/lejligheder/slagelse/102m2-3-vaer-id-5196649" TargetMode="External"/><Relationship Id="rId34" Type="http://schemas.openxmlformats.org/officeDocument/2006/relationships/hyperlink" Target="https://www.boligportal.dk/lejligheder/slagelse/145m2-5-vaer-id-4050692" TargetMode="External"/><Relationship Id="rId50" Type="http://schemas.openxmlformats.org/officeDocument/2006/relationships/hyperlink" Target="https://www.boligportal.dk/lejligheder/slagelse/77m2-3-vaer-id-4829283" TargetMode="External"/><Relationship Id="rId55" Type="http://schemas.openxmlformats.org/officeDocument/2006/relationships/hyperlink" Target="https://www.boligportal.dk/r%C3%A6kkehuse/slagelse/104m2-4-vaer-id-5201889" TargetMode="External"/><Relationship Id="rId76" Type="http://schemas.openxmlformats.org/officeDocument/2006/relationships/ctrlProp" Target="../ctrlProps/ctrlProp5.xml"/><Relationship Id="rId7" Type="http://schemas.openxmlformats.org/officeDocument/2006/relationships/hyperlink" Target="https://www.lejebolig.dk/lejebolig/1513345/3-vaerelses-lejlighed-i-irmabyen" TargetMode="External"/><Relationship Id="rId71" Type="http://schemas.openxmlformats.org/officeDocument/2006/relationships/vmlDrawing" Target="../drawings/vmlDrawing1.vml"/><Relationship Id="rId2" Type="http://schemas.openxmlformats.org/officeDocument/2006/relationships/hyperlink" Target="https://www.lejebolig.dk/lejebolig/1390272/3v-lejlighed-i-glostrup-paa-86-kvm" TargetMode="External"/><Relationship Id="rId29" Type="http://schemas.openxmlformats.org/officeDocument/2006/relationships/hyperlink" Target="https://www.boligportal.dk/lejligheder/slagelse/90m2-4-vaer-id-4517565" TargetMode="External"/><Relationship Id="rId24" Type="http://schemas.openxmlformats.org/officeDocument/2006/relationships/hyperlink" Target="https://www.boligportal.dk/lejligheder/slagelse/79m2-3-vaer-id-5090633" TargetMode="External"/><Relationship Id="rId40" Type="http://schemas.openxmlformats.org/officeDocument/2006/relationships/hyperlink" Target="https://www.boligportal.dk/lejligheder/slagelse/76m2-3-vaer-id-5090618" TargetMode="External"/><Relationship Id="rId45" Type="http://schemas.openxmlformats.org/officeDocument/2006/relationships/hyperlink" Target="https://www.boligportal.dk/lejligheder/slagelse/93m2-4-vaer-id-5199153" TargetMode="External"/><Relationship Id="rId66" Type="http://schemas.openxmlformats.org/officeDocument/2006/relationships/hyperlink" Target="https://www.boligportal.dk/lejligheder/slagelse/50m2-2-vaer-id-4123528" TargetMode="External"/><Relationship Id="rId87" Type="http://schemas.openxmlformats.org/officeDocument/2006/relationships/ctrlProp" Target="../ctrlProps/ctrlProp16.xml"/><Relationship Id="rId61" Type="http://schemas.openxmlformats.org/officeDocument/2006/relationships/hyperlink" Target="https://www.boligportal.dk/lejligheder/slagelse/80m2-3-vaer-id-5205986" TargetMode="External"/><Relationship Id="rId82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D2B37-FFAF-4141-A615-E2FC2AED18E2}">
  <sheetPr codeName="Sheet6">
    <tabColor theme="1"/>
  </sheetPr>
  <dimension ref="A1:Y84"/>
  <sheetViews>
    <sheetView showGridLines="0" zoomScale="115" zoomScaleNormal="115" workbookViewId="0">
      <pane ySplit="1" topLeftCell="A65" activePane="bottomLeft" state="frozen"/>
      <selection pane="bottomLeft" activeCell="A82" sqref="A82"/>
    </sheetView>
  </sheetViews>
  <sheetFormatPr defaultColWidth="9.140625" defaultRowHeight="9" outlineLevelCol="1" x14ac:dyDescent="0.15"/>
  <cols>
    <col min="1" max="1" width="16.42578125" style="1" bestFit="1" customWidth="1"/>
    <col min="2" max="2" width="2.5703125" style="97" customWidth="1"/>
    <col min="3" max="3" width="12.5703125" style="5" bestFit="1" customWidth="1"/>
    <col min="4" max="4" width="12.7109375" style="5" bestFit="1" customWidth="1"/>
    <col min="5" max="5" width="13.85546875" style="18" bestFit="1" customWidth="1"/>
    <col min="6" max="6" width="8.140625" style="10" bestFit="1" customWidth="1"/>
    <col min="7" max="7" width="6.5703125" style="4" bestFit="1" customWidth="1"/>
    <col min="8" max="8" width="2.42578125" style="1" customWidth="1" outlineLevel="1"/>
    <col min="9" max="9" width="4.42578125" style="30" bestFit="1" customWidth="1"/>
    <col min="10" max="10" width="7.42578125" style="4" hidden="1" customWidth="1" outlineLevel="1"/>
    <col min="11" max="11" width="5.28515625" style="4" bestFit="1" customWidth="1" collapsed="1"/>
    <col min="12" max="12" width="6.28515625" style="102" bestFit="1" customWidth="1"/>
    <col min="13" max="14" width="1.7109375" style="100" bestFit="1" customWidth="1"/>
    <col min="15" max="15" width="9.5703125" style="10" bestFit="1" customWidth="1"/>
    <col min="16" max="16" width="9.140625" style="1"/>
    <col min="17" max="17" width="7.5703125" style="1" bestFit="1" customWidth="1"/>
    <col min="18" max="18" width="3.85546875" style="1" bestFit="1" customWidth="1"/>
    <col min="19" max="19" width="4" style="1" bestFit="1" customWidth="1"/>
    <col min="20" max="20" width="3" style="1" bestFit="1" customWidth="1"/>
    <col min="21" max="21" width="9.140625" style="1" bestFit="1" customWidth="1"/>
    <col min="22" max="22" width="7" style="1" bestFit="1" customWidth="1"/>
    <col min="23" max="23" width="5.5703125" style="1" bestFit="1" customWidth="1"/>
    <col min="24" max="24" width="10.5703125" style="1" bestFit="1" customWidth="1"/>
    <col min="25" max="25" width="26.140625" style="1" bestFit="1" customWidth="1"/>
    <col min="26" max="16384" width="9.140625" style="1"/>
  </cols>
  <sheetData>
    <row r="1" spans="1:25" ht="42" customHeight="1" x14ac:dyDescent="0.15">
      <c r="A1" s="67" t="s">
        <v>504</v>
      </c>
      <c r="B1" s="11" t="s">
        <v>39</v>
      </c>
      <c r="C1" s="67" t="s">
        <v>554</v>
      </c>
      <c r="D1" s="67" t="s">
        <v>1</v>
      </c>
      <c r="E1" s="73" t="s">
        <v>665</v>
      </c>
      <c r="F1" s="73" t="s">
        <v>4</v>
      </c>
      <c r="G1" s="73" t="s">
        <v>6</v>
      </c>
      <c r="H1" s="73" t="s">
        <v>2</v>
      </c>
      <c r="I1" s="73" t="s">
        <v>3</v>
      </c>
      <c r="J1" s="73" t="s">
        <v>555</v>
      </c>
      <c r="K1" s="73" t="s">
        <v>5</v>
      </c>
      <c r="L1" s="101" t="s">
        <v>7</v>
      </c>
      <c r="M1" s="99"/>
      <c r="N1" s="99"/>
      <c r="O1" s="73" t="s">
        <v>21</v>
      </c>
      <c r="P1" s="73" t="s">
        <v>660</v>
      </c>
      <c r="Q1" s="7" t="s">
        <v>15</v>
      </c>
      <c r="R1" s="11" t="s">
        <v>14</v>
      </c>
      <c r="S1" s="84" t="s">
        <v>505</v>
      </c>
      <c r="T1" s="5" t="s">
        <v>23</v>
      </c>
      <c r="U1" s="15">
        <f>14000000/V1</f>
        <v>1555.5555555555557</v>
      </c>
      <c r="V1" s="14">
        <v>9000</v>
      </c>
      <c r="W1" s="13">
        <v>96</v>
      </c>
      <c r="X1" s="16">
        <f>V1*U1/W1/12</f>
        <v>12152.777777777779</v>
      </c>
      <c r="Y1" s="1" t="s">
        <v>498</v>
      </c>
    </row>
    <row r="2" spans="1:25" x14ac:dyDescent="0.15">
      <c r="A2" s="85" t="s">
        <v>552</v>
      </c>
      <c r="B2" s="91">
        <v>1</v>
      </c>
      <c r="C2" s="68" t="s">
        <v>664</v>
      </c>
      <c r="D2" s="68" t="s">
        <v>499</v>
      </c>
      <c r="E2" s="27">
        <v>11995</v>
      </c>
      <c r="F2" s="27">
        <f t="shared" ref="F2:F16" si="0">IFERROR(O2/I2,"")</f>
        <v>1893.9473684210527</v>
      </c>
      <c r="G2" s="22">
        <v>3</v>
      </c>
      <c r="H2" s="19"/>
      <c r="I2" s="19">
        <v>76</v>
      </c>
      <c r="J2" s="22"/>
      <c r="K2" s="22">
        <v>4</v>
      </c>
      <c r="L2" s="25">
        <f t="shared" ref="L2:L16" si="1">+MAX(G2-1,1)</f>
        <v>2</v>
      </c>
      <c r="M2" s="69"/>
      <c r="N2" s="69">
        <v>1</v>
      </c>
      <c r="O2" s="28">
        <f t="shared" ref="O2:O16" si="2">+E2*12</f>
        <v>143940</v>
      </c>
      <c r="P2" s="6"/>
      <c r="U2" s="1">
        <v>2232</v>
      </c>
      <c r="V2" s="1">
        <v>3500</v>
      </c>
      <c r="W2" s="1">
        <v>117</v>
      </c>
      <c r="X2" s="16"/>
    </row>
    <row r="3" spans="1:25" x14ac:dyDescent="0.15">
      <c r="A3" s="85" t="s">
        <v>500</v>
      </c>
      <c r="B3" s="92">
        <v>1</v>
      </c>
      <c r="C3" s="69" t="s">
        <v>664</v>
      </c>
      <c r="D3" s="69" t="s">
        <v>499</v>
      </c>
      <c r="E3" s="29">
        <v>11995</v>
      </c>
      <c r="F3" s="29">
        <f t="shared" si="0"/>
        <v>1673.7209302325582</v>
      </c>
      <c r="G3" s="21">
        <v>3</v>
      </c>
      <c r="H3" s="8"/>
      <c r="I3" s="8">
        <v>86</v>
      </c>
      <c r="J3" s="21"/>
      <c r="K3" s="21">
        <v>4</v>
      </c>
      <c r="L3" s="23">
        <f t="shared" si="1"/>
        <v>2</v>
      </c>
      <c r="M3" s="69"/>
      <c r="N3" s="69">
        <v>1</v>
      </c>
      <c r="O3" s="28">
        <f t="shared" si="2"/>
        <v>143940</v>
      </c>
      <c r="P3" s="6"/>
      <c r="X3" s="16"/>
    </row>
    <row r="4" spans="1:25" x14ac:dyDescent="0.15">
      <c r="A4" s="86" t="s">
        <v>26</v>
      </c>
      <c r="B4" s="93">
        <v>2</v>
      </c>
      <c r="C4" s="70" t="s">
        <v>28</v>
      </c>
      <c r="D4" s="70" t="s">
        <v>29</v>
      </c>
      <c r="E4" s="26">
        <v>7000</v>
      </c>
      <c r="F4" s="26">
        <f t="shared" si="0"/>
        <v>1680</v>
      </c>
      <c r="G4" s="20">
        <v>2</v>
      </c>
      <c r="H4" s="17"/>
      <c r="I4" s="17">
        <v>50</v>
      </c>
      <c r="J4" s="20"/>
      <c r="K4" s="20" t="s">
        <v>40</v>
      </c>
      <c r="L4" s="24">
        <f t="shared" si="1"/>
        <v>1</v>
      </c>
      <c r="M4" s="69"/>
      <c r="N4" s="69">
        <v>1</v>
      </c>
      <c r="O4" s="28">
        <f t="shared" si="2"/>
        <v>84000</v>
      </c>
      <c r="P4" s="6"/>
    </row>
    <row r="5" spans="1:25" x14ac:dyDescent="0.15">
      <c r="A5" s="86" t="s">
        <v>31</v>
      </c>
      <c r="B5" s="92">
        <v>3</v>
      </c>
      <c r="C5" s="69" t="s">
        <v>32</v>
      </c>
      <c r="D5" s="69" t="s">
        <v>33</v>
      </c>
      <c r="E5" s="29">
        <v>12995</v>
      </c>
      <c r="F5" s="29">
        <f t="shared" si="0"/>
        <v>1575.1515151515152</v>
      </c>
      <c r="G5" s="21">
        <v>3</v>
      </c>
      <c r="H5" s="8"/>
      <c r="I5" s="8">
        <v>99</v>
      </c>
      <c r="J5" s="21"/>
      <c r="K5" s="21">
        <v>0</v>
      </c>
      <c r="L5" s="23">
        <f t="shared" si="1"/>
        <v>2</v>
      </c>
      <c r="M5" s="69"/>
      <c r="N5" s="69">
        <v>1</v>
      </c>
      <c r="O5" s="28">
        <f t="shared" si="2"/>
        <v>155940</v>
      </c>
    </row>
    <row r="6" spans="1:25" x14ac:dyDescent="0.15">
      <c r="A6" s="86" t="s">
        <v>31</v>
      </c>
      <c r="B6" s="92">
        <v>3</v>
      </c>
      <c r="C6" s="69" t="s">
        <v>32</v>
      </c>
      <c r="D6" s="69" t="s">
        <v>33</v>
      </c>
      <c r="E6" s="29">
        <v>13295</v>
      </c>
      <c r="F6" s="29">
        <f t="shared" si="0"/>
        <v>1519.4285714285713</v>
      </c>
      <c r="G6" s="21">
        <v>3</v>
      </c>
      <c r="H6" s="8"/>
      <c r="I6" s="8">
        <v>105</v>
      </c>
      <c r="J6" s="21"/>
      <c r="K6" s="21">
        <v>1</v>
      </c>
      <c r="L6" s="23">
        <f t="shared" si="1"/>
        <v>2</v>
      </c>
      <c r="M6" s="69">
        <v>1</v>
      </c>
      <c r="O6" s="28">
        <f t="shared" si="2"/>
        <v>159540</v>
      </c>
      <c r="U6" s="87" t="s">
        <v>553</v>
      </c>
    </row>
    <row r="7" spans="1:25" x14ac:dyDescent="0.15">
      <c r="A7" s="86" t="s">
        <v>31</v>
      </c>
      <c r="B7" s="94">
        <v>3</v>
      </c>
      <c r="C7" s="71" t="s">
        <v>32</v>
      </c>
      <c r="D7" s="71" t="s">
        <v>33</v>
      </c>
      <c r="E7" s="34">
        <v>11295</v>
      </c>
      <c r="F7" s="34">
        <f t="shared" si="0"/>
        <v>1633.0120481927711</v>
      </c>
      <c r="G7" s="35">
        <v>3</v>
      </c>
      <c r="H7" s="33"/>
      <c r="I7" s="33">
        <v>83</v>
      </c>
      <c r="J7" s="35"/>
      <c r="K7" s="35">
        <v>2</v>
      </c>
      <c r="L7" s="36">
        <f t="shared" si="1"/>
        <v>2</v>
      </c>
      <c r="M7" s="69">
        <v>1</v>
      </c>
      <c r="O7" s="28">
        <f t="shared" si="2"/>
        <v>135540</v>
      </c>
    </row>
    <row r="8" spans="1:25" x14ac:dyDescent="0.15">
      <c r="A8" s="86" t="s">
        <v>31</v>
      </c>
      <c r="B8" s="92">
        <v>4</v>
      </c>
      <c r="C8" s="69" t="s">
        <v>34</v>
      </c>
      <c r="D8" s="69" t="s">
        <v>33</v>
      </c>
      <c r="E8" s="29">
        <v>12000</v>
      </c>
      <c r="F8" s="29">
        <f t="shared" si="0"/>
        <v>1582.4175824175825</v>
      </c>
      <c r="G8" s="21">
        <v>3</v>
      </c>
      <c r="H8" s="8"/>
      <c r="I8" s="8">
        <v>91</v>
      </c>
      <c r="J8" s="21"/>
      <c r="K8" s="21">
        <v>0</v>
      </c>
      <c r="L8" s="23">
        <f t="shared" si="1"/>
        <v>2</v>
      </c>
      <c r="M8" s="69">
        <v>1</v>
      </c>
      <c r="O8" s="30">
        <f t="shared" si="2"/>
        <v>144000</v>
      </c>
    </row>
    <row r="9" spans="1:25" x14ac:dyDescent="0.15">
      <c r="A9" s="86" t="s">
        <v>31</v>
      </c>
      <c r="B9" s="92">
        <v>4</v>
      </c>
      <c r="C9" s="69" t="s">
        <v>34</v>
      </c>
      <c r="D9" s="69" t="s">
        <v>33</v>
      </c>
      <c r="E9" s="29">
        <v>13500</v>
      </c>
      <c r="F9" s="29">
        <f t="shared" si="0"/>
        <v>1557.6923076923076</v>
      </c>
      <c r="G9" s="21">
        <v>3</v>
      </c>
      <c r="H9" s="8"/>
      <c r="I9" s="8">
        <v>104</v>
      </c>
      <c r="J9" s="21"/>
      <c r="K9" s="21">
        <v>1</v>
      </c>
      <c r="L9" s="23">
        <f t="shared" si="1"/>
        <v>2</v>
      </c>
      <c r="M9" s="69">
        <v>1</v>
      </c>
      <c r="O9" s="30">
        <f t="shared" si="2"/>
        <v>162000</v>
      </c>
    </row>
    <row r="10" spans="1:25" x14ac:dyDescent="0.15">
      <c r="A10" s="86" t="s">
        <v>31</v>
      </c>
      <c r="B10" s="92">
        <v>4</v>
      </c>
      <c r="C10" s="69" t="s">
        <v>34</v>
      </c>
      <c r="D10" s="69" t="s">
        <v>33</v>
      </c>
      <c r="E10" s="29">
        <v>12500</v>
      </c>
      <c r="F10" s="29">
        <f t="shared" si="0"/>
        <v>1442.3076923076924</v>
      </c>
      <c r="G10" s="21">
        <v>3</v>
      </c>
      <c r="H10" s="8"/>
      <c r="I10" s="8">
        <v>104</v>
      </c>
      <c r="J10" s="21"/>
      <c r="K10" s="21">
        <v>2</v>
      </c>
      <c r="L10" s="23">
        <f t="shared" si="1"/>
        <v>2</v>
      </c>
      <c r="M10" s="69">
        <v>1</v>
      </c>
      <c r="O10" s="30">
        <f t="shared" si="2"/>
        <v>150000</v>
      </c>
    </row>
    <row r="11" spans="1:25" x14ac:dyDescent="0.15">
      <c r="A11" s="86" t="s">
        <v>31</v>
      </c>
      <c r="B11" s="94">
        <v>4</v>
      </c>
      <c r="C11" s="71" t="s">
        <v>34</v>
      </c>
      <c r="D11" s="71" t="s">
        <v>33</v>
      </c>
      <c r="E11" s="34">
        <v>14700</v>
      </c>
      <c r="F11" s="34">
        <f t="shared" si="0"/>
        <v>1367.4418604651162</v>
      </c>
      <c r="G11" s="35">
        <v>4</v>
      </c>
      <c r="H11" s="33"/>
      <c r="I11" s="33">
        <v>129</v>
      </c>
      <c r="J11" s="35"/>
      <c r="K11" s="35">
        <v>2</v>
      </c>
      <c r="L11" s="36">
        <f t="shared" si="1"/>
        <v>3</v>
      </c>
      <c r="M11" s="69">
        <v>1</v>
      </c>
      <c r="O11" s="30">
        <f t="shared" si="2"/>
        <v>176400</v>
      </c>
    </row>
    <row r="12" spans="1:25" x14ac:dyDescent="0.15">
      <c r="A12" s="86" t="s">
        <v>25</v>
      </c>
      <c r="B12" s="92">
        <v>5</v>
      </c>
      <c r="C12" s="69" t="s">
        <v>27</v>
      </c>
      <c r="D12" s="69" t="s">
        <v>33</v>
      </c>
      <c r="E12" s="29">
        <v>12346</v>
      </c>
      <c r="F12" s="29">
        <f t="shared" si="0"/>
        <v>1410.9714285714285</v>
      </c>
      <c r="G12" s="21">
        <v>4</v>
      </c>
      <c r="H12" s="8"/>
      <c r="I12" s="8">
        <v>105</v>
      </c>
      <c r="J12" s="21"/>
      <c r="K12" s="21">
        <v>0</v>
      </c>
      <c r="L12" s="23">
        <f t="shared" si="1"/>
        <v>3</v>
      </c>
      <c r="M12" s="69">
        <v>1</v>
      </c>
      <c r="O12" s="30">
        <f t="shared" si="2"/>
        <v>148152</v>
      </c>
    </row>
    <row r="13" spans="1:25" x14ac:dyDescent="0.15">
      <c r="A13" s="86" t="s">
        <v>31</v>
      </c>
      <c r="B13" s="92">
        <v>5</v>
      </c>
      <c r="C13" s="69" t="s">
        <v>27</v>
      </c>
      <c r="D13" s="69" t="s">
        <v>33</v>
      </c>
      <c r="E13" s="29">
        <v>12976</v>
      </c>
      <c r="F13" s="29">
        <f t="shared" si="0"/>
        <v>1511.7669902912621</v>
      </c>
      <c r="G13" s="21">
        <v>4</v>
      </c>
      <c r="H13" s="8"/>
      <c r="I13" s="8">
        <v>103</v>
      </c>
      <c r="J13" s="21"/>
      <c r="K13" s="21">
        <v>1</v>
      </c>
      <c r="L13" s="23">
        <f t="shared" si="1"/>
        <v>3</v>
      </c>
      <c r="M13" s="69">
        <v>1</v>
      </c>
      <c r="O13" s="30">
        <f t="shared" si="2"/>
        <v>155712</v>
      </c>
    </row>
    <row r="14" spans="1:25" x14ac:dyDescent="0.15">
      <c r="A14" s="86" t="s">
        <v>31</v>
      </c>
      <c r="B14" s="92">
        <v>5</v>
      </c>
      <c r="C14" s="69" t="s">
        <v>27</v>
      </c>
      <c r="D14" s="69" t="s">
        <v>33</v>
      </c>
      <c r="E14" s="29">
        <v>13841</v>
      </c>
      <c r="F14" s="29">
        <f t="shared" si="0"/>
        <v>1612.5436893203882</v>
      </c>
      <c r="G14" s="21">
        <v>4</v>
      </c>
      <c r="H14" s="8"/>
      <c r="I14" s="8">
        <v>103</v>
      </c>
      <c r="J14" s="21"/>
      <c r="K14" s="21">
        <v>3</v>
      </c>
      <c r="L14" s="23">
        <f t="shared" si="1"/>
        <v>3</v>
      </c>
      <c r="M14" s="69">
        <v>1</v>
      </c>
      <c r="O14" s="30">
        <f t="shared" si="2"/>
        <v>166092</v>
      </c>
    </row>
    <row r="15" spans="1:25" x14ac:dyDescent="0.15">
      <c r="A15" s="86" t="s">
        <v>25</v>
      </c>
      <c r="B15" s="92">
        <v>5</v>
      </c>
      <c r="C15" s="69" t="s">
        <v>27</v>
      </c>
      <c r="D15" s="69" t="s">
        <v>33</v>
      </c>
      <c r="E15" s="29">
        <v>13228</v>
      </c>
      <c r="F15" s="29">
        <f t="shared" si="0"/>
        <v>1511.7714285714285</v>
      </c>
      <c r="G15" s="21">
        <v>4</v>
      </c>
      <c r="H15" s="8"/>
      <c r="I15" s="8">
        <v>105</v>
      </c>
      <c r="J15" s="21"/>
      <c r="K15" s="21">
        <v>3</v>
      </c>
      <c r="L15" s="23">
        <f t="shared" si="1"/>
        <v>3</v>
      </c>
      <c r="M15" s="69">
        <v>1</v>
      </c>
      <c r="O15" s="30">
        <f t="shared" si="2"/>
        <v>158736</v>
      </c>
    </row>
    <row r="16" spans="1:25" x14ac:dyDescent="0.15">
      <c r="A16" s="86" t="s">
        <v>31</v>
      </c>
      <c r="B16" s="92">
        <v>5</v>
      </c>
      <c r="C16" s="69" t="s">
        <v>27</v>
      </c>
      <c r="D16" s="69" t="s">
        <v>33</v>
      </c>
      <c r="E16" s="29">
        <v>14109</v>
      </c>
      <c r="F16" s="29">
        <f t="shared" si="0"/>
        <v>1612.4571428571428</v>
      </c>
      <c r="G16" s="21">
        <v>4</v>
      </c>
      <c r="H16" s="8"/>
      <c r="I16" s="8">
        <v>105</v>
      </c>
      <c r="J16" s="21"/>
      <c r="K16" s="21">
        <v>5</v>
      </c>
      <c r="L16" s="23">
        <f t="shared" si="1"/>
        <v>3</v>
      </c>
      <c r="M16" s="69">
        <v>1</v>
      </c>
      <c r="O16" s="30">
        <f t="shared" si="2"/>
        <v>169308</v>
      </c>
    </row>
    <row r="17" spans="1:17" x14ac:dyDescent="0.15">
      <c r="B17" s="95"/>
      <c r="C17" s="72" t="s">
        <v>0</v>
      </c>
      <c r="D17" s="72" t="s">
        <v>33</v>
      </c>
      <c r="E17" s="37">
        <f>+AVERAGE(E5:E16)</f>
        <v>13065.416666666666</v>
      </c>
      <c r="F17" s="37">
        <f>+SUM(O5:O16)/SUM(I5:I16)</f>
        <v>1522.1844660194174</v>
      </c>
      <c r="G17" s="3"/>
      <c r="H17" s="2"/>
      <c r="I17" s="2">
        <f>+AVERAGE(I5:I16)</f>
        <v>103</v>
      </c>
      <c r="J17" s="3"/>
      <c r="K17" s="3"/>
      <c r="L17" s="38"/>
      <c r="M17" s="69"/>
      <c r="O17" s="30"/>
    </row>
    <row r="18" spans="1:17" x14ac:dyDescent="0.15">
      <c r="A18" s="86" t="s">
        <v>36</v>
      </c>
      <c r="B18" s="92">
        <f>+B16+1</f>
        <v>6</v>
      </c>
      <c r="C18" s="69" t="s">
        <v>35</v>
      </c>
      <c r="D18" s="69" t="s">
        <v>30</v>
      </c>
      <c r="E18" s="29">
        <v>9000</v>
      </c>
      <c r="F18" s="29">
        <f>IFERROR(O18/I18,"")</f>
        <v>1741.9354838709678</v>
      </c>
      <c r="G18" s="21">
        <v>2</v>
      </c>
      <c r="H18" s="8"/>
      <c r="I18" s="8">
        <v>62</v>
      </c>
      <c r="J18" s="21"/>
      <c r="K18" s="21">
        <v>0</v>
      </c>
      <c r="L18" s="23">
        <f>+MAX(G18-1,1)</f>
        <v>1</v>
      </c>
      <c r="M18" s="69">
        <v>1</v>
      </c>
      <c r="O18" s="30">
        <f>+E18*12</f>
        <v>108000</v>
      </c>
    </row>
    <row r="19" spans="1:17" x14ac:dyDescent="0.15">
      <c r="A19" s="86" t="s">
        <v>36</v>
      </c>
      <c r="B19" s="92">
        <f>+B18+1</f>
        <v>7</v>
      </c>
      <c r="C19" s="69" t="s">
        <v>663</v>
      </c>
      <c r="D19" s="69" t="s">
        <v>30</v>
      </c>
      <c r="E19" s="29">
        <v>13800</v>
      </c>
      <c r="F19" s="29">
        <f>IFERROR(O19/I19,"")</f>
        <v>1725</v>
      </c>
      <c r="G19" s="21">
        <v>3</v>
      </c>
      <c r="H19" s="8"/>
      <c r="I19" s="8">
        <v>96</v>
      </c>
      <c r="J19" s="21"/>
      <c r="K19" s="21" t="s">
        <v>40</v>
      </c>
      <c r="L19" s="23">
        <f>+MAX(G19-1,1)</f>
        <v>2</v>
      </c>
      <c r="M19" s="69">
        <v>1</v>
      </c>
      <c r="O19" s="30">
        <f>+E19*12</f>
        <v>165600</v>
      </c>
    </row>
    <row r="20" spans="1:17" x14ac:dyDescent="0.15">
      <c r="B20" s="91"/>
      <c r="C20" s="68" t="s">
        <v>22</v>
      </c>
      <c r="D20" s="68"/>
      <c r="E20" s="27">
        <f>+SUMIFS($O$2:O19,$M$2:M19,1)/12/H20</f>
        <v>12814.615384615385</v>
      </c>
      <c r="F20" s="27">
        <f>+SUMIFS($O$2:O19,$M$2:M19,1)/SUMIFS($I$2:I19,$M$2:M19,1)</f>
        <v>1543.6911196911196</v>
      </c>
      <c r="G20" s="22"/>
      <c r="H20" s="19">
        <f>+SUMIFS($M$2:M19,$M$2:M19,1)</f>
        <v>13</v>
      </c>
      <c r="I20" s="40">
        <f>+SUMIFS($I$2:I19,$M$2:M19,1)/H20</f>
        <v>99.615384615384613</v>
      </c>
      <c r="J20" s="22"/>
      <c r="K20" s="22"/>
      <c r="L20" s="25"/>
      <c r="M20" s="69"/>
      <c r="N20" s="69"/>
      <c r="O20" s="30">
        <f>+SUM(O2:O19)</f>
        <v>2526900</v>
      </c>
      <c r="P20" s="98"/>
    </row>
    <row r="21" spans="1:17" x14ac:dyDescent="0.15">
      <c r="B21" s="93"/>
      <c r="C21" s="70" t="s">
        <v>18</v>
      </c>
      <c r="D21" s="70"/>
      <c r="E21" s="26">
        <f>+$X$1</f>
        <v>12152.777777777779</v>
      </c>
      <c r="F21" s="26">
        <f>+$U$1</f>
        <v>1555.5555555555557</v>
      </c>
      <c r="G21" s="20"/>
      <c r="H21" s="17"/>
      <c r="I21" s="26">
        <f>+$V$1/$W$1</f>
        <v>93.75</v>
      </c>
      <c r="J21" s="20"/>
      <c r="K21" s="39"/>
      <c r="L21" s="24"/>
      <c r="M21" s="69"/>
      <c r="N21" s="69"/>
      <c r="O21" s="30">
        <f>+O20/(SUM(I2:I19)-I17)</f>
        <v>1573.4122042341221</v>
      </c>
    </row>
    <row r="22" spans="1:17" x14ac:dyDescent="0.15">
      <c r="B22" s="96"/>
      <c r="C22" s="69"/>
      <c r="D22" s="69"/>
      <c r="E22" s="29"/>
      <c r="F22" s="29"/>
      <c r="G22" s="21"/>
      <c r="H22" s="8"/>
      <c r="I22" s="29"/>
      <c r="J22" s="21"/>
      <c r="K22" s="89"/>
      <c r="L22" s="90"/>
      <c r="M22" s="69"/>
      <c r="N22" s="69"/>
      <c r="O22" s="30"/>
    </row>
    <row r="27" spans="1:17" x14ac:dyDescent="0.15">
      <c r="A27" s="12" t="s">
        <v>666</v>
      </c>
      <c r="E27" s="29"/>
      <c r="F27" s="98"/>
      <c r="I27" s="98"/>
      <c r="O27" s="98"/>
    </row>
    <row r="28" spans="1:17" x14ac:dyDescent="0.15">
      <c r="A28" s="67" t="s">
        <v>504</v>
      </c>
      <c r="B28" s="115" t="s">
        <v>39</v>
      </c>
      <c r="C28" s="116" t="s">
        <v>554</v>
      </c>
      <c r="D28" s="116" t="s">
        <v>1</v>
      </c>
      <c r="E28" s="117" t="s">
        <v>665</v>
      </c>
      <c r="F28" s="117" t="s">
        <v>4</v>
      </c>
      <c r="G28" s="117" t="s">
        <v>6</v>
      </c>
      <c r="H28" s="117" t="s">
        <v>2</v>
      </c>
      <c r="I28" s="117" t="s">
        <v>3</v>
      </c>
      <c r="J28" s="117" t="s">
        <v>555</v>
      </c>
      <c r="K28" s="117" t="s">
        <v>5</v>
      </c>
      <c r="L28" s="118" t="s">
        <v>7</v>
      </c>
      <c r="M28" s="99"/>
      <c r="N28" s="99"/>
      <c r="O28" s="73" t="s">
        <v>21</v>
      </c>
      <c r="P28" s="73" t="s">
        <v>660</v>
      </c>
    </row>
    <row r="29" spans="1:17" x14ac:dyDescent="0.15">
      <c r="A29" s="119" t="s">
        <v>684</v>
      </c>
      <c r="B29" s="120">
        <v>1</v>
      </c>
      <c r="C29" s="121" t="s">
        <v>756</v>
      </c>
      <c r="D29" s="121" t="s">
        <v>117</v>
      </c>
      <c r="E29" s="29">
        <v>5100</v>
      </c>
      <c r="F29" s="28">
        <f t="shared" ref="F29:F60" si="3">E29*12/I29</f>
        <v>1200</v>
      </c>
      <c r="G29" s="122">
        <v>2</v>
      </c>
      <c r="H29" s="6">
        <v>1</v>
      </c>
      <c r="I29" s="28">
        <v>51</v>
      </c>
      <c r="J29" s="122"/>
      <c r="K29" s="122"/>
      <c r="L29" s="123">
        <f t="shared" ref="L29:L60" si="4">MAX(G29-1, 1)</f>
        <v>1</v>
      </c>
      <c r="M29" s="100">
        <v>1</v>
      </c>
      <c r="O29" s="10">
        <f t="shared" ref="O29:O60" si="5">E29*12*H29</f>
        <v>61200</v>
      </c>
      <c r="P29" s="1">
        <f t="shared" ref="P29:P60" si="6">I29*H29</f>
        <v>51</v>
      </c>
      <c r="Q29" s="1" t="s">
        <v>681</v>
      </c>
    </row>
    <row r="30" spans="1:17" x14ac:dyDescent="0.15">
      <c r="A30" s="119" t="s">
        <v>725</v>
      </c>
      <c r="B30" s="120">
        <v>2</v>
      </c>
      <c r="C30" s="121" t="s">
        <v>735</v>
      </c>
      <c r="D30" s="121" t="s">
        <v>117</v>
      </c>
      <c r="E30" s="29">
        <v>7900</v>
      </c>
      <c r="F30" s="28">
        <f t="shared" si="3"/>
        <v>1170.3703703703704</v>
      </c>
      <c r="G30" s="122">
        <v>1</v>
      </c>
      <c r="H30" s="6">
        <v>1</v>
      </c>
      <c r="I30" s="28">
        <v>81</v>
      </c>
      <c r="J30" s="122"/>
      <c r="K30" s="122"/>
      <c r="L30" s="123">
        <f t="shared" si="4"/>
        <v>1</v>
      </c>
      <c r="M30" s="100">
        <v>1</v>
      </c>
      <c r="O30" s="10">
        <f t="shared" si="5"/>
        <v>94800</v>
      </c>
      <c r="P30" s="1">
        <f t="shared" si="6"/>
        <v>81</v>
      </c>
      <c r="Q30" s="1" t="s">
        <v>681</v>
      </c>
    </row>
    <row r="31" spans="1:17" x14ac:dyDescent="0.15">
      <c r="A31" s="119" t="s">
        <v>708</v>
      </c>
      <c r="B31" s="120">
        <v>3</v>
      </c>
      <c r="C31" s="121" t="s">
        <v>741</v>
      </c>
      <c r="D31" s="121" t="s">
        <v>117</v>
      </c>
      <c r="E31" s="29">
        <v>7020</v>
      </c>
      <c r="F31" s="28">
        <f t="shared" si="3"/>
        <v>1220.8695652173913</v>
      </c>
      <c r="G31" s="122">
        <v>2</v>
      </c>
      <c r="H31" s="6">
        <v>1</v>
      </c>
      <c r="I31" s="28">
        <v>69</v>
      </c>
      <c r="J31" s="122"/>
      <c r="K31" s="122"/>
      <c r="L31" s="123">
        <f t="shared" si="4"/>
        <v>1</v>
      </c>
      <c r="M31" s="100">
        <v>1</v>
      </c>
      <c r="O31" s="10">
        <f t="shared" si="5"/>
        <v>84240</v>
      </c>
      <c r="P31" s="1">
        <f t="shared" si="6"/>
        <v>69</v>
      </c>
      <c r="Q31" s="1" t="s">
        <v>681</v>
      </c>
    </row>
    <row r="32" spans="1:17" x14ac:dyDescent="0.15">
      <c r="A32" s="119" t="s">
        <v>712</v>
      </c>
      <c r="B32" s="120">
        <v>3</v>
      </c>
      <c r="C32" s="121" t="s">
        <v>741</v>
      </c>
      <c r="D32" s="121" t="s">
        <v>117</v>
      </c>
      <c r="E32" s="29">
        <v>7900</v>
      </c>
      <c r="F32" s="28">
        <f t="shared" si="3"/>
        <v>1200</v>
      </c>
      <c r="G32" s="122">
        <v>2</v>
      </c>
      <c r="H32" s="6">
        <v>1</v>
      </c>
      <c r="I32" s="28">
        <v>79</v>
      </c>
      <c r="J32" s="122"/>
      <c r="K32" s="122"/>
      <c r="L32" s="123">
        <f t="shared" si="4"/>
        <v>1</v>
      </c>
      <c r="M32" s="100">
        <v>1</v>
      </c>
      <c r="O32" s="10">
        <f t="shared" si="5"/>
        <v>94800</v>
      </c>
      <c r="P32" s="1">
        <f t="shared" si="6"/>
        <v>79</v>
      </c>
      <c r="Q32" s="1" t="s">
        <v>682</v>
      </c>
    </row>
    <row r="33" spans="1:17" x14ac:dyDescent="0.15">
      <c r="A33" s="119" t="s">
        <v>712</v>
      </c>
      <c r="B33" s="120">
        <v>4</v>
      </c>
      <c r="C33" s="121" t="s">
        <v>745</v>
      </c>
      <c r="D33" s="121" t="s">
        <v>117</v>
      </c>
      <c r="E33" s="29">
        <v>8023</v>
      </c>
      <c r="F33" s="28">
        <f t="shared" si="3"/>
        <v>1218.6835443037974</v>
      </c>
      <c r="G33" s="122">
        <v>2</v>
      </c>
      <c r="H33" s="6">
        <v>1</v>
      </c>
      <c r="I33" s="28">
        <v>79</v>
      </c>
      <c r="J33" s="122"/>
      <c r="K33" s="122"/>
      <c r="L33" s="123">
        <f t="shared" si="4"/>
        <v>1</v>
      </c>
      <c r="M33" s="100">
        <v>1</v>
      </c>
      <c r="O33" s="10">
        <f t="shared" si="5"/>
        <v>96276</v>
      </c>
      <c r="P33" s="1">
        <f t="shared" si="6"/>
        <v>79</v>
      </c>
      <c r="Q33" s="1" t="s">
        <v>682</v>
      </c>
    </row>
    <row r="34" spans="1:17" x14ac:dyDescent="0.15">
      <c r="A34" s="119" t="s">
        <v>686</v>
      </c>
      <c r="B34" s="120">
        <v>5</v>
      </c>
      <c r="C34" s="121" t="s">
        <v>752</v>
      </c>
      <c r="D34" s="121" t="s">
        <v>117</v>
      </c>
      <c r="E34" s="29">
        <v>4750</v>
      </c>
      <c r="F34" s="28">
        <f t="shared" si="3"/>
        <v>1140</v>
      </c>
      <c r="G34" s="122">
        <v>2</v>
      </c>
      <c r="H34" s="6">
        <v>1</v>
      </c>
      <c r="I34" s="28">
        <v>50</v>
      </c>
      <c r="J34" s="122"/>
      <c r="K34" s="122"/>
      <c r="L34" s="123">
        <f t="shared" si="4"/>
        <v>1</v>
      </c>
      <c r="M34" s="100">
        <v>1</v>
      </c>
      <c r="O34" s="10">
        <f t="shared" si="5"/>
        <v>57000</v>
      </c>
      <c r="P34" s="1">
        <f t="shared" si="6"/>
        <v>50</v>
      </c>
      <c r="Q34" s="1" t="s">
        <v>668</v>
      </c>
    </row>
    <row r="35" spans="1:17" x14ac:dyDescent="0.15">
      <c r="A35" s="119" t="s">
        <v>732</v>
      </c>
      <c r="B35" s="120">
        <v>6</v>
      </c>
      <c r="C35" s="121" t="s">
        <v>735</v>
      </c>
      <c r="D35" s="121" t="s">
        <v>117</v>
      </c>
      <c r="E35" s="29">
        <v>9250</v>
      </c>
      <c r="F35" s="28">
        <f t="shared" si="3"/>
        <v>1088.2352941176471</v>
      </c>
      <c r="G35" s="122">
        <v>2</v>
      </c>
      <c r="H35" s="6">
        <v>1</v>
      </c>
      <c r="I35" s="28">
        <v>102</v>
      </c>
      <c r="J35" s="122"/>
      <c r="K35" s="122"/>
      <c r="L35" s="123">
        <f t="shared" si="4"/>
        <v>1</v>
      </c>
      <c r="M35" s="100">
        <v>1</v>
      </c>
      <c r="O35" s="10">
        <f t="shared" si="5"/>
        <v>111000</v>
      </c>
      <c r="P35" s="1">
        <f t="shared" si="6"/>
        <v>102</v>
      </c>
      <c r="Q35" s="1" t="s">
        <v>683</v>
      </c>
    </row>
    <row r="36" spans="1:17" x14ac:dyDescent="0.15">
      <c r="A36" s="119" t="s">
        <v>709</v>
      </c>
      <c r="B36" s="120">
        <v>7</v>
      </c>
      <c r="C36" s="121" t="s">
        <v>746</v>
      </c>
      <c r="D36" s="121" t="s">
        <v>117</v>
      </c>
      <c r="E36" s="29">
        <v>7250</v>
      </c>
      <c r="F36" s="28">
        <f t="shared" si="3"/>
        <v>1279.4117647058824</v>
      </c>
      <c r="G36" s="122">
        <v>2</v>
      </c>
      <c r="H36" s="6">
        <v>1</v>
      </c>
      <c r="I36" s="28">
        <v>68</v>
      </c>
      <c r="J36" s="122"/>
      <c r="K36" s="122"/>
      <c r="L36" s="123">
        <f t="shared" si="4"/>
        <v>1</v>
      </c>
      <c r="M36" s="100">
        <v>1</v>
      </c>
      <c r="O36" s="10">
        <f t="shared" si="5"/>
        <v>87000</v>
      </c>
      <c r="P36" s="1">
        <f t="shared" si="6"/>
        <v>68</v>
      </c>
      <c r="Q36" s="1" t="s">
        <v>683</v>
      </c>
    </row>
    <row r="37" spans="1:17" x14ac:dyDescent="0.15">
      <c r="A37" s="119" t="s">
        <v>687</v>
      </c>
      <c r="B37" s="120">
        <v>8</v>
      </c>
      <c r="C37" s="121" t="s">
        <v>755</v>
      </c>
      <c r="D37" s="121" t="s">
        <v>117</v>
      </c>
      <c r="E37" s="29">
        <v>6500</v>
      </c>
      <c r="F37" s="28">
        <f t="shared" si="3"/>
        <v>1300</v>
      </c>
      <c r="G37" s="122">
        <v>2</v>
      </c>
      <c r="H37" s="6">
        <v>1</v>
      </c>
      <c r="I37" s="28">
        <v>60</v>
      </c>
      <c r="J37" s="122"/>
      <c r="K37" s="122"/>
      <c r="L37" s="123">
        <f t="shared" si="4"/>
        <v>1</v>
      </c>
      <c r="M37" s="100">
        <v>1</v>
      </c>
      <c r="O37" s="10">
        <f t="shared" si="5"/>
        <v>78000</v>
      </c>
      <c r="P37" s="1">
        <f t="shared" si="6"/>
        <v>60</v>
      </c>
      <c r="Q37" s="1" t="s">
        <v>669</v>
      </c>
    </row>
    <row r="38" spans="1:17" x14ac:dyDescent="0.15">
      <c r="A38" s="119" t="s">
        <v>699</v>
      </c>
      <c r="B38" s="120">
        <v>9</v>
      </c>
      <c r="C38" s="121" t="s">
        <v>750</v>
      </c>
      <c r="D38" s="121" t="s">
        <v>117</v>
      </c>
      <c r="E38" s="29">
        <v>6000</v>
      </c>
      <c r="F38" s="28">
        <f t="shared" si="3"/>
        <v>1333.3333333333333</v>
      </c>
      <c r="G38" s="122">
        <v>2</v>
      </c>
      <c r="H38" s="6">
        <v>1</v>
      </c>
      <c r="I38" s="28">
        <v>54</v>
      </c>
      <c r="J38" s="122"/>
      <c r="K38" s="122"/>
      <c r="L38" s="123">
        <f t="shared" si="4"/>
        <v>1</v>
      </c>
      <c r="M38" s="100">
        <v>1</v>
      </c>
      <c r="O38" s="10">
        <f t="shared" si="5"/>
        <v>72000</v>
      </c>
      <c r="P38" s="1">
        <f t="shared" si="6"/>
        <v>54</v>
      </c>
      <c r="Q38" s="1" t="s">
        <v>669</v>
      </c>
    </row>
    <row r="39" spans="1:17" x14ac:dyDescent="0.15">
      <c r="A39" s="119" t="s">
        <v>688</v>
      </c>
      <c r="B39" s="120">
        <v>10</v>
      </c>
      <c r="C39" s="121" t="s">
        <v>743</v>
      </c>
      <c r="D39" s="121" t="s">
        <v>117</v>
      </c>
      <c r="E39" s="29">
        <v>7090</v>
      </c>
      <c r="F39" s="28">
        <f t="shared" si="3"/>
        <v>1308.9230769230769</v>
      </c>
      <c r="G39" s="122">
        <v>3</v>
      </c>
      <c r="H39" s="6">
        <v>1</v>
      </c>
      <c r="I39" s="28">
        <v>65</v>
      </c>
      <c r="J39" s="122"/>
      <c r="K39" s="122"/>
      <c r="L39" s="123">
        <f t="shared" si="4"/>
        <v>2</v>
      </c>
      <c r="M39" s="100">
        <v>1</v>
      </c>
      <c r="O39" s="10">
        <f t="shared" si="5"/>
        <v>85080</v>
      </c>
      <c r="P39" s="1">
        <f t="shared" si="6"/>
        <v>65</v>
      </c>
      <c r="Q39" s="1" t="s">
        <v>669</v>
      </c>
    </row>
    <row r="40" spans="1:17" x14ac:dyDescent="0.15">
      <c r="A40" s="119" t="s">
        <v>719</v>
      </c>
      <c r="B40" s="120">
        <v>10</v>
      </c>
      <c r="C40" s="121" t="s">
        <v>743</v>
      </c>
      <c r="D40" s="121" t="s">
        <v>117</v>
      </c>
      <c r="E40" s="29">
        <v>9200</v>
      </c>
      <c r="F40" s="28">
        <f t="shared" si="3"/>
        <v>1104</v>
      </c>
      <c r="G40" s="122">
        <v>3</v>
      </c>
      <c r="H40" s="6">
        <v>1</v>
      </c>
      <c r="I40" s="28">
        <v>100</v>
      </c>
      <c r="J40" s="122"/>
      <c r="K40" s="122"/>
      <c r="L40" s="123">
        <f t="shared" si="4"/>
        <v>2</v>
      </c>
      <c r="M40" s="100">
        <v>1</v>
      </c>
      <c r="O40" s="10">
        <f t="shared" si="5"/>
        <v>110400</v>
      </c>
      <c r="P40" s="1">
        <f t="shared" si="6"/>
        <v>100</v>
      </c>
      <c r="Q40" s="1" t="s">
        <v>695</v>
      </c>
    </row>
    <row r="41" spans="1:17" x14ac:dyDescent="0.15">
      <c r="A41" s="119" t="s">
        <v>700</v>
      </c>
      <c r="B41" s="120">
        <v>10</v>
      </c>
      <c r="C41" s="121" t="s">
        <v>743</v>
      </c>
      <c r="D41" s="121" t="s">
        <v>117</v>
      </c>
      <c r="E41" s="29">
        <v>7900</v>
      </c>
      <c r="F41" s="28">
        <f t="shared" si="3"/>
        <v>938.61386138613864</v>
      </c>
      <c r="G41" s="122">
        <v>3</v>
      </c>
      <c r="H41" s="6">
        <v>1</v>
      </c>
      <c r="I41" s="28">
        <v>101</v>
      </c>
      <c r="J41" s="122"/>
      <c r="K41" s="122"/>
      <c r="L41" s="123">
        <f t="shared" si="4"/>
        <v>2</v>
      </c>
      <c r="M41" s="100">
        <v>1</v>
      </c>
      <c r="O41" s="10">
        <f t="shared" si="5"/>
        <v>94800</v>
      </c>
      <c r="P41" s="1">
        <f t="shared" si="6"/>
        <v>101</v>
      </c>
      <c r="Q41" s="1" t="s">
        <v>697</v>
      </c>
    </row>
    <row r="42" spans="1:17" x14ac:dyDescent="0.15">
      <c r="A42" s="119" t="s">
        <v>717</v>
      </c>
      <c r="B42" s="120">
        <v>11</v>
      </c>
      <c r="C42" s="121" t="s">
        <v>744</v>
      </c>
      <c r="D42" s="121" t="s">
        <v>117</v>
      </c>
      <c r="E42" s="29">
        <v>8000</v>
      </c>
      <c r="F42" s="28">
        <f t="shared" si="3"/>
        <v>941.17647058823525</v>
      </c>
      <c r="G42" s="122">
        <v>3</v>
      </c>
      <c r="H42" s="6">
        <v>1</v>
      </c>
      <c r="I42" s="28">
        <v>102</v>
      </c>
      <c r="J42" s="122"/>
      <c r="K42" s="122"/>
      <c r="L42" s="123">
        <f t="shared" si="4"/>
        <v>2</v>
      </c>
      <c r="M42" s="100">
        <v>1</v>
      </c>
      <c r="O42" s="10">
        <f t="shared" si="5"/>
        <v>96000</v>
      </c>
      <c r="P42" s="1">
        <f t="shared" si="6"/>
        <v>102</v>
      </c>
      <c r="Q42" s="1" t="s">
        <v>679</v>
      </c>
    </row>
    <row r="43" spans="1:17" x14ac:dyDescent="0.15">
      <c r="A43" s="119" t="s">
        <v>705</v>
      </c>
      <c r="B43" s="120">
        <v>12</v>
      </c>
      <c r="C43" s="121" t="s">
        <v>741</v>
      </c>
      <c r="D43" s="121" t="s">
        <v>117</v>
      </c>
      <c r="E43" s="29">
        <v>9045</v>
      </c>
      <c r="F43" s="28">
        <f t="shared" si="3"/>
        <v>1262.0930232558139</v>
      </c>
      <c r="G43" s="122">
        <v>3</v>
      </c>
      <c r="H43" s="6">
        <v>1</v>
      </c>
      <c r="I43" s="28">
        <v>86</v>
      </c>
      <c r="J43" s="122"/>
      <c r="K43" s="122"/>
      <c r="L43" s="123">
        <f t="shared" si="4"/>
        <v>2</v>
      </c>
      <c r="M43" s="100">
        <v>1</v>
      </c>
      <c r="O43" s="10">
        <f t="shared" si="5"/>
        <v>108540</v>
      </c>
      <c r="P43" s="1">
        <f t="shared" si="6"/>
        <v>86</v>
      </c>
      <c r="Q43" s="1" t="s">
        <v>679</v>
      </c>
    </row>
    <row r="44" spans="1:17" x14ac:dyDescent="0.15">
      <c r="A44" s="119" t="s">
        <v>705</v>
      </c>
      <c r="B44" s="120">
        <v>12</v>
      </c>
      <c r="C44" s="121" t="s">
        <v>741</v>
      </c>
      <c r="D44" s="121" t="s">
        <v>117</v>
      </c>
      <c r="E44" s="29">
        <v>9321</v>
      </c>
      <c r="F44" s="28">
        <f t="shared" si="3"/>
        <v>1300.6046511627908</v>
      </c>
      <c r="G44" s="122">
        <v>3</v>
      </c>
      <c r="H44" s="6">
        <v>1</v>
      </c>
      <c r="I44" s="28">
        <v>86</v>
      </c>
      <c r="J44" s="122"/>
      <c r="K44" s="122"/>
      <c r="L44" s="123">
        <f t="shared" si="4"/>
        <v>2</v>
      </c>
      <c r="M44" s="100">
        <v>1</v>
      </c>
      <c r="O44" s="10">
        <f t="shared" si="5"/>
        <v>111852</v>
      </c>
      <c r="P44" s="1">
        <f t="shared" si="6"/>
        <v>86</v>
      </c>
      <c r="Q44" s="1" t="s">
        <v>701</v>
      </c>
    </row>
    <row r="45" spans="1:17" x14ac:dyDescent="0.15">
      <c r="A45" s="119" t="s">
        <v>715</v>
      </c>
      <c r="B45" s="120">
        <v>13</v>
      </c>
      <c r="C45" s="121" t="s">
        <v>734</v>
      </c>
      <c r="D45" s="121" t="s">
        <v>117</v>
      </c>
      <c r="E45" s="29">
        <v>9395</v>
      </c>
      <c r="F45" s="28">
        <f t="shared" si="3"/>
        <v>1483.421052631579</v>
      </c>
      <c r="G45" s="122">
        <v>3</v>
      </c>
      <c r="H45" s="6">
        <v>1</v>
      </c>
      <c r="I45" s="28">
        <v>76</v>
      </c>
      <c r="J45" s="122"/>
      <c r="K45" s="122"/>
      <c r="L45" s="123">
        <f t="shared" si="4"/>
        <v>2</v>
      </c>
      <c r="M45" s="100">
        <v>1</v>
      </c>
      <c r="O45" s="10">
        <f t="shared" si="5"/>
        <v>112740</v>
      </c>
      <c r="P45" s="1">
        <f t="shared" si="6"/>
        <v>76</v>
      </c>
      <c r="Q45" s="1" t="s">
        <v>701</v>
      </c>
    </row>
    <row r="46" spans="1:17" x14ac:dyDescent="0.15">
      <c r="A46" s="119" t="s">
        <v>715</v>
      </c>
      <c r="B46" s="120">
        <v>13</v>
      </c>
      <c r="C46" s="121" t="s">
        <v>734</v>
      </c>
      <c r="D46" s="121" t="s">
        <v>117</v>
      </c>
      <c r="E46" s="29">
        <v>9395</v>
      </c>
      <c r="F46" s="28">
        <f t="shared" si="3"/>
        <v>1483.421052631579</v>
      </c>
      <c r="G46" s="122">
        <v>3</v>
      </c>
      <c r="H46" s="6">
        <v>1</v>
      </c>
      <c r="I46" s="28">
        <v>76</v>
      </c>
      <c r="J46" s="122"/>
      <c r="K46" s="122"/>
      <c r="L46" s="123">
        <f t="shared" si="4"/>
        <v>2</v>
      </c>
      <c r="M46" s="100">
        <v>1</v>
      </c>
      <c r="O46" s="10">
        <f t="shared" si="5"/>
        <v>112740</v>
      </c>
      <c r="P46" s="1">
        <f t="shared" si="6"/>
        <v>76</v>
      </c>
      <c r="Q46" s="1" t="s">
        <v>671</v>
      </c>
    </row>
    <row r="47" spans="1:17" x14ac:dyDescent="0.15">
      <c r="A47" s="119" t="s">
        <v>715</v>
      </c>
      <c r="B47" s="120">
        <v>13</v>
      </c>
      <c r="C47" s="121" t="s">
        <v>734</v>
      </c>
      <c r="D47" s="121" t="s">
        <v>117</v>
      </c>
      <c r="E47" s="29">
        <v>8968</v>
      </c>
      <c r="F47" s="28">
        <f t="shared" si="3"/>
        <v>1416</v>
      </c>
      <c r="G47" s="122">
        <v>3</v>
      </c>
      <c r="H47" s="6">
        <v>1</v>
      </c>
      <c r="I47" s="28">
        <v>76</v>
      </c>
      <c r="J47" s="122"/>
      <c r="K47" s="122"/>
      <c r="L47" s="123">
        <f t="shared" si="4"/>
        <v>2</v>
      </c>
      <c r="M47" s="100">
        <v>1</v>
      </c>
      <c r="O47" s="10">
        <f t="shared" si="5"/>
        <v>107616</v>
      </c>
      <c r="P47" s="1">
        <f t="shared" si="6"/>
        <v>76</v>
      </c>
      <c r="Q47" s="1" t="s">
        <v>671</v>
      </c>
    </row>
    <row r="48" spans="1:17" x14ac:dyDescent="0.15">
      <c r="A48" s="119" t="s">
        <v>715</v>
      </c>
      <c r="B48" s="120">
        <v>13</v>
      </c>
      <c r="C48" s="121" t="s">
        <v>734</v>
      </c>
      <c r="D48" s="121" t="s">
        <v>117</v>
      </c>
      <c r="E48" s="29">
        <v>8968</v>
      </c>
      <c r="F48" s="28">
        <f t="shared" si="3"/>
        <v>1416</v>
      </c>
      <c r="G48" s="122">
        <v>3</v>
      </c>
      <c r="H48" s="6">
        <v>1</v>
      </c>
      <c r="I48" s="28">
        <v>76</v>
      </c>
      <c r="J48" s="122"/>
      <c r="K48" s="122"/>
      <c r="L48" s="123">
        <f t="shared" si="4"/>
        <v>2</v>
      </c>
      <c r="M48" s="100">
        <v>1</v>
      </c>
      <c r="O48" s="10">
        <f t="shared" si="5"/>
        <v>107616</v>
      </c>
      <c r="P48" s="1">
        <f t="shared" si="6"/>
        <v>76</v>
      </c>
      <c r="Q48" s="1" t="s">
        <v>706</v>
      </c>
    </row>
    <row r="49" spans="1:17" x14ac:dyDescent="0.15">
      <c r="A49" s="119" t="s">
        <v>715</v>
      </c>
      <c r="B49" s="120">
        <v>13</v>
      </c>
      <c r="C49" s="121" t="s">
        <v>734</v>
      </c>
      <c r="D49" s="121" t="s">
        <v>117</v>
      </c>
      <c r="E49" s="29">
        <v>8968</v>
      </c>
      <c r="F49" s="28">
        <f t="shared" si="3"/>
        <v>1416</v>
      </c>
      <c r="G49" s="122">
        <v>3</v>
      </c>
      <c r="H49" s="6">
        <v>1</v>
      </c>
      <c r="I49" s="28">
        <v>76</v>
      </c>
      <c r="J49" s="122"/>
      <c r="K49" s="122"/>
      <c r="L49" s="123">
        <f t="shared" si="4"/>
        <v>2</v>
      </c>
      <c r="M49" s="100">
        <v>1</v>
      </c>
      <c r="O49" s="10">
        <f t="shared" si="5"/>
        <v>107616</v>
      </c>
      <c r="P49" s="1">
        <f t="shared" si="6"/>
        <v>76</v>
      </c>
      <c r="Q49" s="1" t="s">
        <v>706</v>
      </c>
    </row>
    <row r="50" spans="1:17" x14ac:dyDescent="0.15">
      <c r="A50" s="119" t="s">
        <v>715</v>
      </c>
      <c r="B50" s="120">
        <v>13</v>
      </c>
      <c r="C50" s="121" t="s">
        <v>734</v>
      </c>
      <c r="D50" s="121" t="s">
        <v>117</v>
      </c>
      <c r="E50" s="29">
        <v>9596</v>
      </c>
      <c r="F50" s="28">
        <f t="shared" si="3"/>
        <v>1515.1578947368421</v>
      </c>
      <c r="G50" s="122">
        <v>3</v>
      </c>
      <c r="H50" s="6">
        <v>1</v>
      </c>
      <c r="I50" s="28">
        <v>76</v>
      </c>
      <c r="J50" s="122"/>
      <c r="K50" s="122"/>
      <c r="L50" s="123">
        <f t="shared" si="4"/>
        <v>2</v>
      </c>
      <c r="M50" s="100">
        <v>1</v>
      </c>
      <c r="O50" s="10">
        <f t="shared" si="5"/>
        <v>115152</v>
      </c>
      <c r="P50" s="1">
        <f t="shared" si="6"/>
        <v>76</v>
      </c>
      <c r="Q50" s="1" t="s">
        <v>706</v>
      </c>
    </row>
    <row r="51" spans="1:17" x14ac:dyDescent="0.15">
      <c r="A51" s="119" t="s">
        <v>715</v>
      </c>
      <c r="B51" s="120">
        <v>13</v>
      </c>
      <c r="C51" s="121" t="s">
        <v>734</v>
      </c>
      <c r="D51" s="121" t="s">
        <v>117</v>
      </c>
      <c r="E51" s="29">
        <v>9470</v>
      </c>
      <c r="F51" s="28">
        <f t="shared" si="3"/>
        <v>1495.2631578947369</v>
      </c>
      <c r="G51" s="122">
        <v>3</v>
      </c>
      <c r="H51" s="6">
        <v>1</v>
      </c>
      <c r="I51" s="28">
        <v>76</v>
      </c>
      <c r="J51" s="122"/>
      <c r="K51" s="122"/>
      <c r="L51" s="123">
        <f t="shared" si="4"/>
        <v>2</v>
      </c>
      <c r="M51" s="100">
        <v>1</v>
      </c>
      <c r="O51" s="10">
        <f t="shared" si="5"/>
        <v>113640</v>
      </c>
      <c r="P51" s="1">
        <f t="shared" si="6"/>
        <v>76</v>
      </c>
      <c r="Q51" s="1" t="s">
        <v>710</v>
      </c>
    </row>
    <row r="52" spans="1:17" x14ac:dyDescent="0.15">
      <c r="A52" s="119" t="s">
        <v>715</v>
      </c>
      <c r="B52" s="120">
        <v>13</v>
      </c>
      <c r="C52" s="121" t="s">
        <v>734</v>
      </c>
      <c r="D52" s="121" t="s">
        <v>117</v>
      </c>
      <c r="E52" s="29">
        <v>9395</v>
      </c>
      <c r="F52" s="28">
        <f t="shared" si="3"/>
        <v>1483.421052631579</v>
      </c>
      <c r="G52" s="122">
        <v>3</v>
      </c>
      <c r="H52" s="6">
        <v>1</v>
      </c>
      <c r="I52" s="28">
        <v>76</v>
      </c>
      <c r="J52" s="122"/>
      <c r="K52" s="122"/>
      <c r="L52" s="123">
        <f t="shared" si="4"/>
        <v>2</v>
      </c>
      <c r="M52" s="100">
        <v>1</v>
      </c>
      <c r="O52" s="10">
        <f t="shared" si="5"/>
        <v>112740</v>
      </c>
      <c r="P52" s="1">
        <f t="shared" si="6"/>
        <v>76</v>
      </c>
      <c r="Q52" s="1" t="s">
        <v>711</v>
      </c>
    </row>
    <row r="53" spans="1:17" x14ac:dyDescent="0.15">
      <c r="A53" s="119" t="s">
        <v>715</v>
      </c>
      <c r="B53" s="120">
        <v>13</v>
      </c>
      <c r="C53" s="121" t="s">
        <v>734</v>
      </c>
      <c r="D53" s="121" t="s">
        <v>117</v>
      </c>
      <c r="E53" s="29">
        <v>10023</v>
      </c>
      <c r="F53" s="28">
        <f t="shared" si="3"/>
        <v>1582.578947368421</v>
      </c>
      <c r="G53" s="122">
        <v>3</v>
      </c>
      <c r="H53" s="6">
        <v>1</v>
      </c>
      <c r="I53" s="28">
        <v>76</v>
      </c>
      <c r="J53" s="122"/>
      <c r="K53" s="122"/>
      <c r="L53" s="123">
        <f t="shared" si="4"/>
        <v>2</v>
      </c>
      <c r="M53" s="100">
        <v>1</v>
      </c>
      <c r="O53" s="10">
        <f t="shared" si="5"/>
        <v>120276</v>
      </c>
      <c r="P53" s="1">
        <f t="shared" si="6"/>
        <v>76</v>
      </c>
      <c r="Q53" s="1" t="s">
        <v>713</v>
      </c>
    </row>
    <row r="54" spans="1:17" x14ac:dyDescent="0.15">
      <c r="A54" s="119" t="s">
        <v>678</v>
      </c>
      <c r="B54" s="120">
        <v>13</v>
      </c>
      <c r="C54" s="121" t="s">
        <v>734</v>
      </c>
      <c r="D54" s="121" t="s">
        <v>117</v>
      </c>
      <c r="E54" s="29">
        <v>9445</v>
      </c>
      <c r="F54" s="28">
        <f t="shared" si="3"/>
        <v>1434.6835443037974</v>
      </c>
      <c r="G54" s="122">
        <v>3</v>
      </c>
      <c r="H54" s="6">
        <v>1</v>
      </c>
      <c r="I54" s="28">
        <v>79</v>
      </c>
      <c r="J54" s="122"/>
      <c r="K54" s="122"/>
      <c r="L54" s="123">
        <f t="shared" si="4"/>
        <v>2</v>
      </c>
      <c r="M54" s="100">
        <v>1</v>
      </c>
      <c r="O54" s="10">
        <f t="shared" si="5"/>
        <v>113340</v>
      </c>
      <c r="P54" s="1">
        <f t="shared" si="6"/>
        <v>79</v>
      </c>
      <c r="Q54" s="1" t="s">
        <v>672</v>
      </c>
    </row>
    <row r="55" spans="1:17" x14ac:dyDescent="0.15">
      <c r="A55" s="119" t="s">
        <v>678</v>
      </c>
      <c r="B55" s="120">
        <v>13</v>
      </c>
      <c r="C55" s="121" t="s">
        <v>734</v>
      </c>
      <c r="D55" s="121" t="s">
        <v>117</v>
      </c>
      <c r="E55" s="29">
        <v>9319</v>
      </c>
      <c r="F55" s="28">
        <f t="shared" si="3"/>
        <v>1415.5443037974683</v>
      </c>
      <c r="G55" s="122">
        <v>3</v>
      </c>
      <c r="H55" s="6">
        <v>1</v>
      </c>
      <c r="I55" s="28">
        <v>79</v>
      </c>
      <c r="J55" s="122"/>
      <c r="K55" s="122"/>
      <c r="L55" s="123">
        <f t="shared" si="4"/>
        <v>2</v>
      </c>
      <c r="M55" s="100">
        <v>1</v>
      </c>
      <c r="O55" s="10">
        <f t="shared" si="5"/>
        <v>111828</v>
      </c>
      <c r="P55" s="1">
        <f t="shared" si="6"/>
        <v>79</v>
      </c>
      <c r="Q55" s="1" t="s">
        <v>680</v>
      </c>
    </row>
    <row r="56" spans="1:17" x14ac:dyDescent="0.15">
      <c r="A56" s="119" t="s">
        <v>678</v>
      </c>
      <c r="B56" s="120">
        <v>13</v>
      </c>
      <c r="C56" s="121" t="s">
        <v>734</v>
      </c>
      <c r="D56" s="121" t="s">
        <v>117</v>
      </c>
      <c r="E56" s="29">
        <v>9470</v>
      </c>
      <c r="F56" s="28">
        <f t="shared" si="3"/>
        <v>1438.4810126582279</v>
      </c>
      <c r="G56" s="122">
        <v>3</v>
      </c>
      <c r="H56" s="6">
        <v>1</v>
      </c>
      <c r="I56" s="28">
        <v>79</v>
      </c>
      <c r="J56" s="122"/>
      <c r="K56" s="122"/>
      <c r="L56" s="123">
        <f t="shared" si="4"/>
        <v>2</v>
      </c>
      <c r="M56" s="100">
        <v>1</v>
      </c>
      <c r="O56" s="10">
        <f t="shared" si="5"/>
        <v>113640</v>
      </c>
      <c r="P56" s="1">
        <f t="shared" si="6"/>
        <v>79</v>
      </c>
      <c r="Q56" s="1" t="s">
        <v>680</v>
      </c>
    </row>
    <row r="57" spans="1:17" x14ac:dyDescent="0.15">
      <c r="A57" s="119" t="s">
        <v>678</v>
      </c>
      <c r="B57" s="120">
        <v>13</v>
      </c>
      <c r="C57" s="121" t="s">
        <v>734</v>
      </c>
      <c r="D57" s="121" t="s">
        <v>117</v>
      </c>
      <c r="E57" s="29">
        <v>9520</v>
      </c>
      <c r="F57" s="28">
        <f t="shared" si="3"/>
        <v>1446.0759493670887</v>
      </c>
      <c r="G57" s="122">
        <v>3</v>
      </c>
      <c r="H57" s="6">
        <v>1</v>
      </c>
      <c r="I57" s="28">
        <v>79</v>
      </c>
      <c r="J57" s="122"/>
      <c r="K57" s="122"/>
      <c r="L57" s="123">
        <f t="shared" si="4"/>
        <v>2</v>
      </c>
      <c r="M57" s="100">
        <v>1</v>
      </c>
      <c r="O57" s="10">
        <f t="shared" si="5"/>
        <v>114240</v>
      </c>
      <c r="P57" s="1">
        <f t="shared" si="6"/>
        <v>79</v>
      </c>
      <c r="Q57" s="1" t="s">
        <v>716</v>
      </c>
    </row>
    <row r="58" spans="1:17" x14ac:dyDescent="0.15">
      <c r="A58" s="119" t="s">
        <v>714</v>
      </c>
      <c r="B58" s="120">
        <v>14</v>
      </c>
      <c r="C58" s="121" t="s">
        <v>738</v>
      </c>
      <c r="D58" s="121" t="s">
        <v>117</v>
      </c>
      <c r="E58" s="29">
        <v>5990</v>
      </c>
      <c r="F58" s="28">
        <f t="shared" si="3"/>
        <v>1057.0588235294117</v>
      </c>
      <c r="G58" s="122">
        <v>3</v>
      </c>
      <c r="H58" s="6">
        <v>1</v>
      </c>
      <c r="I58" s="28">
        <v>68</v>
      </c>
      <c r="J58" s="122"/>
      <c r="K58" s="122"/>
      <c r="L58" s="123">
        <f t="shared" si="4"/>
        <v>2</v>
      </c>
      <c r="M58" s="100">
        <v>1</v>
      </c>
      <c r="O58" s="10">
        <f t="shared" si="5"/>
        <v>71880</v>
      </c>
      <c r="P58" s="1">
        <f t="shared" si="6"/>
        <v>68</v>
      </c>
      <c r="Q58" s="1" t="s">
        <v>718</v>
      </c>
    </row>
    <row r="59" spans="1:17" x14ac:dyDescent="0.15">
      <c r="A59" s="119" t="s">
        <v>676</v>
      </c>
      <c r="B59" s="120">
        <v>14</v>
      </c>
      <c r="C59" s="121" t="s">
        <v>738</v>
      </c>
      <c r="D59" s="121" t="s">
        <v>117</v>
      </c>
      <c r="E59" s="29">
        <v>8490</v>
      </c>
      <c r="F59" s="28">
        <f t="shared" si="3"/>
        <v>1050.3092783505156</v>
      </c>
      <c r="G59" s="122">
        <v>3</v>
      </c>
      <c r="H59" s="6">
        <v>1</v>
      </c>
      <c r="I59" s="28">
        <v>97</v>
      </c>
      <c r="J59" s="122"/>
      <c r="K59" s="122"/>
      <c r="L59" s="123">
        <f t="shared" si="4"/>
        <v>2</v>
      </c>
      <c r="M59" s="100">
        <v>1</v>
      </c>
      <c r="O59" s="10">
        <f t="shared" si="5"/>
        <v>101880</v>
      </c>
      <c r="P59" s="1">
        <f t="shared" si="6"/>
        <v>97</v>
      </c>
      <c r="Q59" s="1" t="s">
        <v>720</v>
      </c>
    </row>
    <row r="60" spans="1:17" x14ac:dyDescent="0.15">
      <c r="A60" s="119" t="s">
        <v>691</v>
      </c>
      <c r="B60" s="120">
        <v>15</v>
      </c>
      <c r="C60" s="121" t="s">
        <v>753</v>
      </c>
      <c r="D60" s="121" t="s">
        <v>117</v>
      </c>
      <c r="E60" s="29">
        <v>8300</v>
      </c>
      <c r="F60" s="28">
        <f t="shared" si="3"/>
        <v>1094.5054945054944</v>
      </c>
      <c r="G60" s="122">
        <v>3</v>
      </c>
      <c r="H60" s="6">
        <v>1</v>
      </c>
      <c r="I60" s="28">
        <v>91</v>
      </c>
      <c r="J60" s="122"/>
      <c r="K60" s="122"/>
      <c r="L60" s="123">
        <f t="shared" si="4"/>
        <v>2</v>
      </c>
      <c r="M60" s="100">
        <v>1</v>
      </c>
      <c r="O60" s="10">
        <f t="shared" si="5"/>
        <v>99600</v>
      </c>
      <c r="P60" s="1">
        <f t="shared" si="6"/>
        <v>91</v>
      </c>
      <c r="Q60" s="1" t="s">
        <v>721</v>
      </c>
    </row>
    <row r="61" spans="1:17" x14ac:dyDescent="0.15">
      <c r="A61" s="119" t="s">
        <v>692</v>
      </c>
      <c r="B61" s="120">
        <v>16</v>
      </c>
      <c r="C61" s="121" t="s">
        <v>735</v>
      </c>
      <c r="D61" s="121" t="s">
        <v>117</v>
      </c>
      <c r="E61" s="29">
        <v>7400</v>
      </c>
      <c r="F61" s="28">
        <f t="shared" ref="F61:F79" si="7">E61*12/I61</f>
        <v>1233.3333333333333</v>
      </c>
      <c r="G61" s="122">
        <v>3</v>
      </c>
      <c r="H61" s="6">
        <v>1</v>
      </c>
      <c r="I61" s="28">
        <v>72</v>
      </c>
      <c r="J61" s="122"/>
      <c r="K61" s="122"/>
      <c r="L61" s="123">
        <f t="shared" ref="L61:L81" si="8">MAX(G61-1, 1)</f>
        <v>2</v>
      </c>
      <c r="M61" s="100">
        <v>1</v>
      </c>
      <c r="O61" s="10">
        <f t="shared" ref="O61:O79" si="9">E61*12*H61</f>
        <v>88800</v>
      </c>
      <c r="P61" s="1">
        <f t="shared" ref="P61:P79" si="10">I61*H61</f>
        <v>72</v>
      </c>
      <c r="Q61" s="1" t="s">
        <v>722</v>
      </c>
    </row>
    <row r="62" spans="1:17" x14ac:dyDescent="0.15">
      <c r="A62" s="119" t="s">
        <v>690</v>
      </c>
      <c r="B62" s="120">
        <v>17</v>
      </c>
      <c r="C62" s="121" t="s">
        <v>750</v>
      </c>
      <c r="D62" s="121" t="s">
        <v>117</v>
      </c>
      <c r="E62" s="29">
        <v>7900</v>
      </c>
      <c r="F62" s="28">
        <f t="shared" si="7"/>
        <v>1185</v>
      </c>
      <c r="G62" s="122">
        <v>3</v>
      </c>
      <c r="H62" s="6">
        <v>1</v>
      </c>
      <c r="I62" s="28">
        <v>80</v>
      </c>
      <c r="J62" s="122"/>
      <c r="K62" s="122"/>
      <c r="L62" s="123">
        <f t="shared" si="8"/>
        <v>2</v>
      </c>
      <c r="M62" s="100">
        <v>1</v>
      </c>
      <c r="O62" s="10">
        <f t="shared" si="9"/>
        <v>94800</v>
      </c>
      <c r="P62" s="1">
        <f t="shared" si="10"/>
        <v>80</v>
      </c>
      <c r="Q62" s="1" t="s">
        <v>674</v>
      </c>
    </row>
    <row r="63" spans="1:17" x14ac:dyDescent="0.15">
      <c r="A63" s="119" t="s">
        <v>704</v>
      </c>
      <c r="B63" s="120">
        <v>18</v>
      </c>
      <c r="C63" s="121" t="s">
        <v>748</v>
      </c>
      <c r="D63" s="121" t="s">
        <v>117</v>
      </c>
      <c r="E63" s="29">
        <v>7000</v>
      </c>
      <c r="F63" s="28">
        <f t="shared" si="7"/>
        <v>1090.909090909091</v>
      </c>
      <c r="G63" s="122">
        <v>3</v>
      </c>
      <c r="H63" s="6">
        <v>1</v>
      </c>
      <c r="I63" s="28">
        <v>77</v>
      </c>
      <c r="J63" s="122"/>
      <c r="K63" s="122"/>
      <c r="L63" s="123">
        <f t="shared" si="8"/>
        <v>2</v>
      </c>
      <c r="M63" s="100">
        <v>1</v>
      </c>
      <c r="O63" s="10">
        <f t="shared" si="9"/>
        <v>84000</v>
      </c>
      <c r="P63" s="1">
        <f t="shared" si="10"/>
        <v>77</v>
      </c>
      <c r="Q63" s="1" t="s">
        <v>724</v>
      </c>
    </row>
    <row r="64" spans="1:17" x14ac:dyDescent="0.15">
      <c r="A64" s="119" t="s">
        <v>690</v>
      </c>
      <c r="B64" s="120">
        <v>18</v>
      </c>
      <c r="C64" s="121" t="s">
        <v>748</v>
      </c>
      <c r="D64" s="121" t="s">
        <v>117</v>
      </c>
      <c r="E64" s="29">
        <v>7500</v>
      </c>
      <c r="F64" s="28">
        <f t="shared" si="7"/>
        <v>1125</v>
      </c>
      <c r="G64" s="122">
        <v>3</v>
      </c>
      <c r="H64" s="6">
        <v>1</v>
      </c>
      <c r="I64" s="28">
        <v>80</v>
      </c>
      <c r="J64" s="122"/>
      <c r="K64" s="122"/>
      <c r="L64" s="123">
        <f t="shared" si="8"/>
        <v>2</v>
      </c>
      <c r="M64" s="100">
        <v>1</v>
      </c>
      <c r="O64" s="10">
        <f t="shared" si="9"/>
        <v>90000</v>
      </c>
      <c r="P64" s="1">
        <f t="shared" si="10"/>
        <v>80</v>
      </c>
      <c r="Q64" s="1" t="s">
        <v>675</v>
      </c>
    </row>
    <row r="65" spans="1:17" x14ac:dyDescent="0.15">
      <c r="A65" s="119" t="s">
        <v>707</v>
      </c>
      <c r="B65" s="120">
        <v>19</v>
      </c>
      <c r="C65" s="121" t="s">
        <v>747</v>
      </c>
      <c r="D65" s="121" t="s">
        <v>117</v>
      </c>
      <c r="E65" s="29">
        <v>9100</v>
      </c>
      <c r="F65" s="28">
        <f t="shared" si="7"/>
        <v>1050</v>
      </c>
      <c r="G65" s="122">
        <v>3</v>
      </c>
      <c r="H65" s="6">
        <v>1</v>
      </c>
      <c r="I65" s="28">
        <v>104</v>
      </c>
      <c r="J65" s="122"/>
      <c r="K65" s="122"/>
      <c r="L65" s="123">
        <f t="shared" si="8"/>
        <v>2</v>
      </c>
      <c r="M65" s="100">
        <v>1</v>
      </c>
      <c r="O65" s="10">
        <f t="shared" si="9"/>
        <v>109200</v>
      </c>
      <c r="P65" s="1">
        <f t="shared" si="10"/>
        <v>104</v>
      </c>
      <c r="Q65" s="1" t="s">
        <v>727</v>
      </c>
    </row>
    <row r="66" spans="1:17" x14ac:dyDescent="0.15">
      <c r="A66" s="119" t="s">
        <v>694</v>
      </c>
      <c r="B66" s="120">
        <v>20</v>
      </c>
      <c r="C66" s="121" t="s">
        <v>752</v>
      </c>
      <c r="D66" s="121" t="s">
        <v>117</v>
      </c>
      <c r="E66" s="29">
        <v>8980</v>
      </c>
      <c r="F66" s="28">
        <f t="shared" si="7"/>
        <v>913.22033898305085</v>
      </c>
      <c r="G66" s="122">
        <v>4</v>
      </c>
      <c r="H66" s="6">
        <v>1</v>
      </c>
      <c r="I66" s="28">
        <v>118</v>
      </c>
      <c r="J66" s="122"/>
      <c r="K66" s="122"/>
      <c r="L66" s="123">
        <f t="shared" si="8"/>
        <v>3</v>
      </c>
      <c r="M66" s="100">
        <v>1</v>
      </c>
      <c r="O66" s="10">
        <f t="shared" si="9"/>
        <v>107760</v>
      </c>
      <c r="P66" s="1">
        <f t="shared" si="10"/>
        <v>118</v>
      </c>
      <c r="Q66" s="1" t="s">
        <v>728</v>
      </c>
    </row>
    <row r="67" spans="1:17" x14ac:dyDescent="0.15">
      <c r="A67" s="119" t="s">
        <v>696</v>
      </c>
      <c r="B67" s="120">
        <v>21</v>
      </c>
      <c r="C67" s="121" t="s">
        <v>751</v>
      </c>
      <c r="D67" s="121" t="s">
        <v>117</v>
      </c>
      <c r="E67" s="29">
        <v>10979</v>
      </c>
      <c r="F67" s="28">
        <f t="shared" si="7"/>
        <v>1013.4461538461538</v>
      </c>
      <c r="G67" s="122">
        <v>4</v>
      </c>
      <c r="H67" s="6">
        <v>1</v>
      </c>
      <c r="I67" s="28">
        <v>130</v>
      </c>
      <c r="J67" s="122"/>
      <c r="K67" s="122"/>
      <c r="L67" s="123">
        <f t="shared" si="8"/>
        <v>3</v>
      </c>
      <c r="M67" s="100">
        <v>1</v>
      </c>
      <c r="O67" s="10">
        <f t="shared" si="9"/>
        <v>131748</v>
      </c>
      <c r="P67" s="1">
        <f t="shared" si="10"/>
        <v>130</v>
      </c>
      <c r="Q67" s="1" t="s">
        <v>730</v>
      </c>
    </row>
    <row r="68" spans="1:17" x14ac:dyDescent="0.15">
      <c r="A68" s="119" t="s">
        <v>673</v>
      </c>
      <c r="B68" s="120">
        <v>22</v>
      </c>
      <c r="C68" s="121" t="s">
        <v>742</v>
      </c>
      <c r="D68" s="121" t="s">
        <v>117</v>
      </c>
      <c r="E68" s="29">
        <v>10075</v>
      </c>
      <c r="F68" s="28">
        <f t="shared" si="7"/>
        <v>1300</v>
      </c>
      <c r="G68" s="122">
        <v>4</v>
      </c>
      <c r="H68" s="6">
        <v>1</v>
      </c>
      <c r="I68" s="28">
        <v>93</v>
      </c>
      <c r="J68" s="122"/>
      <c r="K68" s="122"/>
      <c r="L68" s="123">
        <f t="shared" si="8"/>
        <v>3</v>
      </c>
      <c r="M68" s="100">
        <v>1</v>
      </c>
      <c r="O68" s="10">
        <f t="shared" si="9"/>
        <v>120900</v>
      </c>
      <c r="P68" s="1">
        <f t="shared" si="10"/>
        <v>93</v>
      </c>
      <c r="Q68" s="1">
        <v>44309</v>
      </c>
    </row>
    <row r="69" spans="1:17" x14ac:dyDescent="0.15">
      <c r="A69" s="119" t="s">
        <v>670</v>
      </c>
      <c r="B69" s="120">
        <v>22</v>
      </c>
      <c r="C69" s="121" t="s">
        <v>742</v>
      </c>
      <c r="D69" s="121" t="s">
        <v>117</v>
      </c>
      <c r="E69" s="29">
        <v>6200</v>
      </c>
      <c r="F69" s="28">
        <f t="shared" si="7"/>
        <v>751.5151515151515</v>
      </c>
      <c r="G69" s="122">
        <v>4</v>
      </c>
      <c r="H69" s="6">
        <v>1</v>
      </c>
      <c r="I69" s="28">
        <v>99</v>
      </c>
      <c r="J69" s="122"/>
      <c r="K69" s="122"/>
      <c r="L69" s="123">
        <f t="shared" si="8"/>
        <v>3</v>
      </c>
      <c r="M69" s="100">
        <v>1</v>
      </c>
      <c r="O69" s="10">
        <f t="shared" si="9"/>
        <v>74400</v>
      </c>
      <c r="P69" s="1">
        <f t="shared" si="10"/>
        <v>99</v>
      </c>
      <c r="Q69" s="1" t="s">
        <v>733</v>
      </c>
    </row>
    <row r="70" spans="1:17" x14ac:dyDescent="0.15">
      <c r="A70" s="119" t="s">
        <v>693</v>
      </c>
      <c r="B70" s="120">
        <v>23</v>
      </c>
      <c r="C70" s="121" t="s">
        <v>753</v>
      </c>
      <c r="D70" s="121" t="s">
        <v>117</v>
      </c>
      <c r="E70" s="29">
        <v>7300</v>
      </c>
      <c r="F70" s="28">
        <f t="shared" si="7"/>
        <v>811.11111111111109</v>
      </c>
      <c r="G70" s="122">
        <v>4</v>
      </c>
      <c r="H70" s="6">
        <v>1</v>
      </c>
      <c r="I70" s="28">
        <v>108</v>
      </c>
      <c r="J70" s="122"/>
      <c r="K70" s="122"/>
      <c r="L70" s="123">
        <f t="shared" si="8"/>
        <v>3</v>
      </c>
      <c r="M70" s="100">
        <v>1</v>
      </c>
      <c r="O70" s="10">
        <f t="shared" si="9"/>
        <v>87600</v>
      </c>
      <c r="P70" s="1">
        <f t="shared" si="10"/>
        <v>108</v>
      </c>
      <c r="Q70" s="1">
        <v>44540</v>
      </c>
    </row>
    <row r="71" spans="1:17" x14ac:dyDescent="0.15">
      <c r="A71" s="119" t="s">
        <v>689</v>
      </c>
      <c r="B71" s="120">
        <v>24</v>
      </c>
      <c r="C71" s="121" t="s">
        <v>754</v>
      </c>
      <c r="D71" s="121" t="s">
        <v>117</v>
      </c>
      <c r="E71" s="29">
        <v>7814</v>
      </c>
      <c r="F71" s="28">
        <f t="shared" si="7"/>
        <v>910.36893203883494</v>
      </c>
      <c r="G71" s="122">
        <v>4</v>
      </c>
      <c r="H71" s="6">
        <v>1</v>
      </c>
      <c r="I71" s="28">
        <v>103</v>
      </c>
      <c r="J71" s="122"/>
      <c r="K71" s="122"/>
      <c r="L71" s="123">
        <f t="shared" si="8"/>
        <v>3</v>
      </c>
      <c r="M71" s="100">
        <v>1</v>
      </c>
      <c r="O71" s="10">
        <f t="shared" si="9"/>
        <v>93768</v>
      </c>
      <c r="P71" s="1">
        <f t="shared" si="10"/>
        <v>103</v>
      </c>
      <c r="Q71" s="1">
        <v>44540</v>
      </c>
    </row>
    <row r="72" spans="1:17" x14ac:dyDescent="0.15">
      <c r="A72" s="119" t="s">
        <v>731</v>
      </c>
      <c r="B72" s="120">
        <v>25</v>
      </c>
      <c r="C72" s="121" t="s">
        <v>736</v>
      </c>
      <c r="D72" s="121" t="s">
        <v>117</v>
      </c>
      <c r="E72" s="29">
        <v>8200</v>
      </c>
      <c r="F72" s="28">
        <f t="shared" si="7"/>
        <v>1093.3333333333333</v>
      </c>
      <c r="G72" s="122">
        <v>4</v>
      </c>
      <c r="H72" s="6">
        <v>1</v>
      </c>
      <c r="I72" s="28">
        <v>90</v>
      </c>
      <c r="J72" s="122"/>
      <c r="K72" s="122"/>
      <c r="L72" s="123">
        <f t="shared" si="8"/>
        <v>3</v>
      </c>
      <c r="M72" s="100">
        <v>1</v>
      </c>
      <c r="O72" s="10">
        <f t="shared" si="9"/>
        <v>98400</v>
      </c>
      <c r="P72" s="1">
        <f t="shared" si="10"/>
        <v>90</v>
      </c>
      <c r="Q72" s="1">
        <v>44540</v>
      </c>
    </row>
    <row r="73" spans="1:17" x14ac:dyDescent="0.15">
      <c r="A73" s="119" t="s">
        <v>685</v>
      </c>
      <c r="B73" s="120">
        <v>25</v>
      </c>
      <c r="C73" s="121" t="s">
        <v>736</v>
      </c>
      <c r="D73" s="121" t="s">
        <v>117</v>
      </c>
      <c r="E73" s="29">
        <v>8200</v>
      </c>
      <c r="F73" s="28">
        <f t="shared" si="7"/>
        <v>806.55737704918033</v>
      </c>
      <c r="G73" s="122">
        <v>4</v>
      </c>
      <c r="H73" s="6">
        <v>1</v>
      </c>
      <c r="I73" s="28">
        <v>122</v>
      </c>
      <c r="J73" s="122"/>
      <c r="K73" s="122"/>
      <c r="L73" s="123">
        <f t="shared" si="8"/>
        <v>3</v>
      </c>
      <c r="M73" s="100">
        <v>1</v>
      </c>
      <c r="O73" s="10">
        <f t="shared" si="9"/>
        <v>98400</v>
      </c>
      <c r="P73" s="1">
        <f t="shared" si="10"/>
        <v>122</v>
      </c>
      <c r="Q73" s="1">
        <v>44540</v>
      </c>
    </row>
    <row r="74" spans="1:17" x14ac:dyDescent="0.15">
      <c r="A74" s="119" t="s">
        <v>702</v>
      </c>
      <c r="B74" s="120">
        <v>26</v>
      </c>
      <c r="C74" s="121" t="s">
        <v>749</v>
      </c>
      <c r="D74" s="121" t="s">
        <v>117</v>
      </c>
      <c r="E74" s="29">
        <v>8800</v>
      </c>
      <c r="F74" s="28">
        <f t="shared" si="7"/>
        <v>1056</v>
      </c>
      <c r="G74" s="122">
        <v>4</v>
      </c>
      <c r="H74" s="6">
        <v>1</v>
      </c>
      <c r="I74" s="28">
        <v>100</v>
      </c>
      <c r="J74" s="122"/>
      <c r="K74" s="122"/>
      <c r="L74" s="123">
        <f t="shared" si="8"/>
        <v>3</v>
      </c>
      <c r="M74" s="100">
        <v>1</v>
      </c>
      <c r="O74" s="10">
        <f t="shared" si="9"/>
        <v>105600</v>
      </c>
      <c r="P74" s="1">
        <f t="shared" si="10"/>
        <v>100</v>
      </c>
      <c r="Q74" s="1">
        <v>44540</v>
      </c>
    </row>
    <row r="75" spans="1:17" x14ac:dyDescent="0.15">
      <c r="A75" s="119" t="s">
        <v>698</v>
      </c>
      <c r="B75" s="120">
        <v>27</v>
      </c>
      <c r="C75" s="121" t="s">
        <v>747</v>
      </c>
      <c r="D75" s="121" t="s">
        <v>117</v>
      </c>
      <c r="E75" s="29">
        <v>9300</v>
      </c>
      <c r="F75" s="28">
        <f t="shared" si="7"/>
        <v>1073.0769230769231</v>
      </c>
      <c r="G75" s="122">
        <v>4</v>
      </c>
      <c r="H75" s="6">
        <v>1</v>
      </c>
      <c r="I75" s="28">
        <v>104</v>
      </c>
      <c r="J75" s="122"/>
      <c r="K75" s="122"/>
      <c r="L75" s="123">
        <f t="shared" si="8"/>
        <v>3</v>
      </c>
      <c r="M75" s="100">
        <v>1</v>
      </c>
      <c r="O75" s="10">
        <f t="shared" si="9"/>
        <v>111600</v>
      </c>
      <c r="P75" s="1">
        <f t="shared" si="10"/>
        <v>104</v>
      </c>
      <c r="Q75" s="1">
        <v>44540</v>
      </c>
    </row>
    <row r="76" spans="1:17" x14ac:dyDescent="0.15">
      <c r="A76" s="119" t="s">
        <v>703</v>
      </c>
      <c r="B76" s="120">
        <v>28</v>
      </c>
      <c r="C76" s="121" t="s">
        <v>743</v>
      </c>
      <c r="D76" s="121" t="s">
        <v>117</v>
      </c>
      <c r="E76" s="29">
        <v>10500</v>
      </c>
      <c r="F76" s="28">
        <f t="shared" si="7"/>
        <v>600</v>
      </c>
      <c r="G76" s="122">
        <v>5</v>
      </c>
      <c r="H76" s="6">
        <v>1</v>
      </c>
      <c r="I76" s="28">
        <v>210</v>
      </c>
      <c r="J76" s="122"/>
      <c r="K76" s="122"/>
      <c r="L76" s="123">
        <f t="shared" si="8"/>
        <v>4</v>
      </c>
      <c r="M76" s="100">
        <v>1</v>
      </c>
      <c r="O76" s="10">
        <f t="shared" si="9"/>
        <v>126000</v>
      </c>
      <c r="P76" s="1">
        <f t="shared" si="10"/>
        <v>210</v>
      </c>
      <c r="Q76" s="1">
        <v>44540</v>
      </c>
    </row>
    <row r="77" spans="1:17" x14ac:dyDescent="0.15">
      <c r="A77" s="119" t="s">
        <v>726</v>
      </c>
      <c r="B77" s="120">
        <v>29</v>
      </c>
      <c r="C77" s="121" t="s">
        <v>739</v>
      </c>
      <c r="D77" s="121" t="s">
        <v>117</v>
      </c>
      <c r="E77" s="29">
        <v>10000</v>
      </c>
      <c r="F77" s="28">
        <f t="shared" si="7"/>
        <v>714.28571428571433</v>
      </c>
      <c r="G77" s="122">
        <v>5</v>
      </c>
      <c r="H77" s="6">
        <v>1</v>
      </c>
      <c r="I77" s="28">
        <v>168</v>
      </c>
      <c r="J77" s="122"/>
      <c r="K77" s="122"/>
      <c r="L77" s="123">
        <f t="shared" si="8"/>
        <v>4</v>
      </c>
      <c r="M77" s="100">
        <v>1</v>
      </c>
      <c r="O77" s="10">
        <f t="shared" si="9"/>
        <v>120000</v>
      </c>
      <c r="P77" s="1">
        <f t="shared" si="10"/>
        <v>168</v>
      </c>
      <c r="Q77" s="1">
        <v>44540</v>
      </c>
    </row>
    <row r="78" spans="1:17" x14ac:dyDescent="0.15">
      <c r="A78" s="119" t="s">
        <v>723</v>
      </c>
      <c r="B78" s="120">
        <v>30</v>
      </c>
      <c r="C78" s="121" t="s">
        <v>740</v>
      </c>
      <c r="D78" s="121" t="s">
        <v>117</v>
      </c>
      <c r="E78" s="29">
        <v>9200</v>
      </c>
      <c r="F78" s="28">
        <f t="shared" si="7"/>
        <v>761.37931034482756</v>
      </c>
      <c r="G78" s="122">
        <v>5</v>
      </c>
      <c r="H78" s="6">
        <v>1</v>
      </c>
      <c r="I78" s="28">
        <v>145</v>
      </c>
      <c r="J78" s="122"/>
      <c r="K78" s="122"/>
      <c r="L78" s="123">
        <f t="shared" si="8"/>
        <v>4</v>
      </c>
      <c r="M78" s="100">
        <v>1</v>
      </c>
      <c r="O78" s="10">
        <f t="shared" si="9"/>
        <v>110400</v>
      </c>
      <c r="P78" s="1">
        <f t="shared" si="10"/>
        <v>145</v>
      </c>
      <c r="Q78" s="1">
        <v>44540</v>
      </c>
    </row>
    <row r="79" spans="1:17" x14ac:dyDescent="0.15">
      <c r="A79" s="119" t="s">
        <v>729</v>
      </c>
      <c r="B79" s="120">
        <v>31</v>
      </c>
      <c r="C79" s="121" t="s">
        <v>737</v>
      </c>
      <c r="D79" s="121" t="s">
        <v>117</v>
      </c>
      <c r="E79" s="29">
        <v>9900</v>
      </c>
      <c r="F79" s="28">
        <f t="shared" si="7"/>
        <v>667.41573033707868</v>
      </c>
      <c r="G79" s="122">
        <v>5</v>
      </c>
      <c r="H79" s="6">
        <v>1</v>
      </c>
      <c r="I79" s="28">
        <v>178</v>
      </c>
      <c r="J79" s="122"/>
      <c r="K79" s="122"/>
      <c r="L79" s="123">
        <f t="shared" si="8"/>
        <v>4</v>
      </c>
      <c r="M79" s="100">
        <v>1</v>
      </c>
      <c r="O79" s="10">
        <f t="shared" si="9"/>
        <v>118800</v>
      </c>
      <c r="P79" s="1">
        <f t="shared" si="10"/>
        <v>178</v>
      </c>
      <c r="Q79" s="1">
        <v>44540</v>
      </c>
    </row>
    <row r="80" spans="1:17" x14ac:dyDescent="0.15">
      <c r="B80" s="120">
        <v>32</v>
      </c>
      <c r="C80" s="121"/>
      <c r="D80" s="121"/>
      <c r="E80" s="29"/>
      <c r="F80" s="28"/>
      <c r="G80" s="122"/>
      <c r="H80" s="6"/>
      <c r="I80" s="28"/>
      <c r="J80" s="122"/>
      <c r="K80" s="122"/>
      <c r="L80" s="123">
        <f t="shared" si="8"/>
        <v>1</v>
      </c>
    </row>
    <row r="81" spans="2:12" x14ac:dyDescent="0.15">
      <c r="B81" s="124">
        <v>32</v>
      </c>
      <c r="C81" s="125"/>
      <c r="D81" s="125"/>
      <c r="E81" s="126"/>
      <c r="F81" s="127"/>
      <c r="G81" s="128"/>
      <c r="H81" s="138"/>
      <c r="I81" s="127"/>
      <c r="J81" s="128"/>
      <c r="K81" s="128"/>
      <c r="L81" s="129">
        <f t="shared" si="8"/>
        <v>1</v>
      </c>
    </row>
    <row r="82" spans="2:12" x14ac:dyDescent="0.15">
      <c r="B82" s="130"/>
      <c r="C82" s="131" t="s">
        <v>22</v>
      </c>
      <c r="D82" s="131"/>
      <c r="E82" s="132">
        <f>SUMIFS(O29:O81,M29:M81,1)/12/H82</f>
        <v>8417.823529411764</v>
      </c>
      <c r="F82" s="133">
        <f>SUMIFS(O29:O81,M29:M81,1)/SUMIFS(P29:P81,M29:M81,1)</f>
        <v>1103.1494646680942</v>
      </c>
      <c r="G82" s="134" t="str">
        <f>_xlfn.MINIFS(G29:G81,M29:M81,1)&amp;"-"&amp;_xlfn.MAXIFS(G29:G81,M29:M81,1)</f>
        <v>1-5</v>
      </c>
      <c r="H82" s="135">
        <f>SUMIFS(H29:H81,M29:M81,1)</f>
        <v>51</v>
      </c>
      <c r="I82" s="133">
        <f>SUMIFS(P29:P81,M29:M81,1)/H82</f>
        <v>91.568627450980387</v>
      </c>
      <c r="J82" s="134" t="str">
        <f>_xlfn.MINIFS(J29:J81,M29:M81,1)&amp;"-"&amp;RIGHT(_xlfn.MAXIFS(J29:J81,M29:M81,1),2)</f>
        <v>0-0</v>
      </c>
      <c r="K82" s="134" t="str">
        <f>_xlfn.MINIFS(K29:K81,M29:M81,1)&amp;"-"&amp;_xlfn.MAXIFS(K29:K81,M29:M81,1)</f>
        <v>0-0</v>
      </c>
      <c r="L82" s="136" t="str">
        <f>_xlfn.MINIFS(L29:L81,M29:M81,1)&amp;"-"&amp;_xlfn.MAXIFS(L29:L81,M29:M81,1)</f>
        <v>1-4</v>
      </c>
    </row>
    <row r="83" spans="2:12" x14ac:dyDescent="0.15">
      <c r="B83" s="120"/>
      <c r="C83" s="121" t="s">
        <v>677</v>
      </c>
      <c r="D83" s="121"/>
      <c r="E83" s="29" t="e">
        <f>SUMIFS(O29:O81,N29:N81,1)/12/H83</f>
        <v>#DIV/0!</v>
      </c>
      <c r="F83" s="28" t="e">
        <f>SUMIFS(O29:O81,N29:N81,1)/SUMIFS(P29:P81,N29:N81,1)</f>
        <v>#DIV/0!</v>
      </c>
      <c r="G83" s="122" t="str">
        <f>_xlfn.MINIFS(G29:G81,N29:N81,1)&amp;"-"&amp;_xlfn.MAXIFS(G29:G81,N29:N81,1)</f>
        <v>0-0</v>
      </c>
      <c r="H83" s="6">
        <f>SUMIFS(H29:H81,N29:N81,1)</f>
        <v>0</v>
      </c>
      <c r="I83" s="28" t="e">
        <f>SUMIFS(P29:P81,N29:N81,1)/H83</f>
        <v>#DIV/0!</v>
      </c>
      <c r="J83" s="122" t="str">
        <f>_xlfn.MINIFS(J29:J81,N29:N81,1)&amp;"-"&amp;RIGHT(_xlfn.MAXIFS(J29:J81,N29:N81,1),2)</f>
        <v>0-0</v>
      </c>
      <c r="K83" s="122" t="str">
        <f>_xlfn.MINIFS(K29:K81,N29:N81,1)&amp;"-"&amp;_xlfn.MAXIFS(K29:K81,N29:N81,1)</f>
        <v>0-0</v>
      </c>
      <c r="L83" s="123" t="str">
        <f>_xlfn.MINIFS(L29:L81,N29:N81,1)&amp;"-"&amp;_xlfn.MAXIFS(L29:L81,N29:N81,1)</f>
        <v>0-0</v>
      </c>
    </row>
    <row r="84" spans="2:12" x14ac:dyDescent="0.15">
      <c r="B84" s="124"/>
      <c r="C84" s="125" t="s">
        <v>18</v>
      </c>
      <c r="D84" s="125"/>
      <c r="E84" s="126">
        <v>12152.777777777779</v>
      </c>
      <c r="F84" s="127">
        <f>E84*12/I84</f>
        <v>1555.5555555555557</v>
      </c>
      <c r="G84" s="128"/>
      <c r="H84" s="137">
        <v>96</v>
      </c>
      <c r="I84" s="127">
        <f>9000/96</f>
        <v>93.75</v>
      </c>
      <c r="J84" s="128"/>
      <c r="K84" s="128"/>
      <c r="L84" s="129"/>
    </row>
  </sheetData>
  <sortState xmlns:xlrd2="http://schemas.microsoft.com/office/spreadsheetml/2017/richdata2" ref="A30:P81">
    <sortCondition ref="G29:G81"/>
    <sortCondition ref="D29:D81"/>
    <sortCondition ref="C29:C81"/>
    <sortCondition ref="I29:I81"/>
  </sortState>
  <hyperlinks>
    <hyperlink ref="A18" r:id="rId1" display="https://www.lejebolig.dk/lejebolig/1507602/3-vaerelser-for-13800-kr-pr-maaned" xr:uid="{2804F3B4-521C-4F9A-94C6-6D1857CB2357}"/>
    <hyperlink ref="A3" r:id="rId2" display="https://www.lejebolig.dk/lejebolig/1390272/3v-lejlighed-i-glostrup-paa-86-kvm" xr:uid="{42B0828D-30DD-4D3A-B614-F5804F51F390}"/>
    <hyperlink ref="A2" r:id="rId3" display="https://www.lejebolig.dk/lejebolig/1514219/76-m2-lejlighed-i-glostrup" xr:uid="{3A6D0C7B-D5FA-4CCC-BB78-B1F48F7795D9}"/>
    <hyperlink ref="A12" r:id="rId4" display="https://www.lejebolig.dk/lejebolig/1511521/lejlighed-paa-kaffevej-i-roedovre" xr:uid="{308C8ABB-7D31-47D5-898D-6FBF66C45501}"/>
    <hyperlink ref="A13" r:id="rId5" display="https://www.lejebolig.dk/lejebolig/1512140/103-m2-lejlighed-paa-kaffevej" xr:uid="{97931313-EFFB-4E02-BAD6-3AB8735ED96C}"/>
    <hyperlink ref="A14" r:id="rId6" display="https://www.lejebolig.dk/lejebolig/1512701/lejlighed-paa-kaffevej-i-roedovre" xr:uid="{3BABB6A7-BB80-428A-8483-D968F979FB62}"/>
    <hyperlink ref="A7" r:id="rId7" display="https://www.lejebolig.dk/lejebolig/1513345/3-vaerelses-lejlighed-i-irmabyen" xr:uid="{2D9F27BC-9E46-474B-A66F-1EB08AF56705}"/>
    <hyperlink ref="A6" r:id="rId8" display="https://www.lejebolig.dk/lejebolig/1513346/3-vaerelses-lejlighed-i-irmabyen" xr:uid="{6A84887A-52D3-406F-B65E-22B56E8BEF82}"/>
    <hyperlink ref="A11" r:id="rId9" display="https://www.lejebolig.dk/lejebolig/1513788/stor-lys-bolig-i-roedovre" xr:uid="{92E84DC8-9B37-437F-9ECD-DABDBAA18592}"/>
    <hyperlink ref="A8" r:id="rId10" display="https://www.lejebolig.dk/lejebolig/1513791/moderne-bolig-i-roedovre" xr:uid="{CE3A1E0B-54F9-48E0-8C6C-D5D4941826F6}"/>
    <hyperlink ref="A10" r:id="rId11" display="https://www.lejebolig.dk/lejebolig/1513790/stor-lys-bolig-i-roedovre" xr:uid="{F0AEC14A-66C4-4A4B-9672-01F86C3F7080}"/>
    <hyperlink ref="A9" r:id="rId12" display="https://www.lejebolig.dk/lejebolig/1513789/stor-lys-bolig-i-roedovre" xr:uid="{9EDE785A-EF4D-42B0-B066-EBAE69E2E803}"/>
    <hyperlink ref="A16" r:id="rId13" display="https://www.lejebolig.dk/lejebolig/1509729/105-m2-lejlighed-paa-kaffevej" xr:uid="{892158F2-BBFF-4AEA-9397-FE7DA55B873E}"/>
    <hyperlink ref="A5" r:id="rId14" display="https://www.lejebolig.dk/lejebolig/1513770/3-vaerelses-lejlighed-i-irmabyen" xr:uid="{D3E82241-59D8-424C-818B-785F42ED35AE}"/>
    <hyperlink ref="A15" r:id="rId15" display="https://www.lejebolig.dk/lejebolig/1514816/lejlighed-paa-kaffevej-i-roedovre" xr:uid="{54226C60-95AA-49C4-8CDA-528D5754C5E5}"/>
    <hyperlink ref="A19" r:id="rId16" display="https://www.lejebolig.dk/lejebolig/1507602/3-vaerelser-for-13800-kr-pr-maaned" xr:uid="{08B128C7-3F71-475A-8703-3DD29DA75A45}"/>
    <hyperlink ref="A4" r:id="rId17" display="https://www.lejebolig.dk/lejebolig/1478507/lejlighed-paa-islevbrovej-i-roedovre" xr:uid="{34CC4AD9-C663-4471-963C-77288D785171}"/>
    <hyperlink ref="A53" r:id="rId18" display="https://www.boligportal.dk/lejligheder/slagelse/76m2-3-vaer-id-5090615" xr:uid="{C625DA8A-415D-4278-9FD5-C3AD7A21C94B}"/>
    <hyperlink ref="A57" r:id="rId19" display="https://www.boligportal.dk/lejligheder/slagelse/79m2-3-vaer-id-5090620" xr:uid="{4BDFC9DB-EB0F-41CF-8B2A-F6FC14362585}"/>
    <hyperlink ref="A52" r:id="rId20" display="https://www.boligportal.dk/lejligheder/slagelse/76m2-3-vaer-id-5090622" xr:uid="{9ECF40DC-0E37-4330-9438-37111471BF3F}"/>
    <hyperlink ref="A56" r:id="rId21" display="https://www.boligportal.dk/lejligheder/slagelse/79m2-3-vaer-id-5090627" xr:uid="{121ABB4F-5091-4F11-84A5-F6A297CC8343}"/>
    <hyperlink ref="A51" r:id="rId22" display="https://www.boligportal.dk/lejligheder/slagelse/76m2-3-vaer-id-5090631" xr:uid="{59092296-59FE-4C54-8378-35CF4A31D952}"/>
    <hyperlink ref="A50" r:id="rId23" display="https://www.boligportal.dk/lejligheder/slagelse/76m2-3-vaer-id-5090632" xr:uid="{32B9D939-5DD9-4261-BFC3-F9954C8ECA69}"/>
    <hyperlink ref="A55" r:id="rId24" display="https://www.boligportal.dk/lejligheder/slagelse/79m2-3-vaer-id-5090633" xr:uid="{8A69A9B5-2DB1-4B91-9013-E03BD8C12282}"/>
    <hyperlink ref="A54" r:id="rId25" display="https://www.boligportal.dk/lejligheder/slagelse/79m2-3-vaer-id-5090635" xr:uid="{A4286720-B9E1-4FB9-814D-94F37636EECF}"/>
    <hyperlink ref="A49" r:id="rId26" display="https://www.boligportal.dk/lejligheder/slagelse/76m2-3-vaer-id-5090636" xr:uid="{2E17FCC7-037B-4F4C-979B-F000F712C313}"/>
    <hyperlink ref="A48" r:id="rId27" display="https://www.boligportal.dk/lejligheder/slagelse/76m2-3-vaer-id-5090637" xr:uid="{2E031309-69B6-483F-806D-0BB1596F88B4}"/>
    <hyperlink ref="A35" r:id="rId28" display="https://www.boligportal.dk/lejligheder/slagelse/102m2-2-vaer-id-5171230" xr:uid="{0E2CABA8-4CFA-451E-ACFB-AD32F23D75AC}"/>
    <hyperlink ref="A72" r:id="rId29" display="https://www.boligportal.dk/lejligheder/slagelse/90m2-4-vaer-id-4517565" xr:uid="{2EFEDB93-EA1B-4330-BDEF-DD073477C87C}"/>
    <hyperlink ref="A79" r:id="rId30" display="https://www.boligportal.dk/lejligheder/slagelse/178m2-5-vaer-id-4977566" xr:uid="{BD97E191-9576-4432-BAA7-0DFDE9DC3D0D}"/>
    <hyperlink ref="A59" r:id="rId31" display="https://www.boligportal.dk/lejligheder/slagelse/97m2-3-vaer-id-5184540" xr:uid="{63B015F8-7422-4B14-97A2-560D53B64971}"/>
    <hyperlink ref="A77" r:id="rId32" display="https://www.boligportal.dk/lejligheder/slagelse/168m2-5-vaer-id-5187816" xr:uid="{627FF95A-216F-45F6-927B-6596B77E6E84}"/>
    <hyperlink ref="A30" r:id="rId33" display="https://www.boligportal.dk/lejligheder/slagelse/81m2-1-vaer-id-5171273" xr:uid="{AA0CA098-F823-4879-94A0-9C96406D0F14}"/>
    <hyperlink ref="A78" r:id="rId34" display="https://www.boligportal.dk/lejligheder/slagelse/145m2-5-vaer-id-4050692" xr:uid="{6086376B-8132-491D-8EF8-4AD85B30506A}"/>
    <hyperlink ref="A44" r:id="rId35" display="https://www.boligportal.dk/lejligheder/slagelse/86m2-3-vaer-id-5192522" xr:uid="{BF50302A-F10D-4F14-956B-05F88DF7FA49}"/>
    <hyperlink ref="A69" r:id="rId36" display="https://www.boligportal.dk/lejligheder/slagelse/99m2-4-vaer-id-5194228" xr:uid="{4DC9DC24-676B-4A8F-AFCD-689ABC30EFE0}"/>
    <hyperlink ref="A47" r:id="rId37" display="https://www.boligportal.dk/lejligheder/slagelse/76m2-3-vaer-id-5194668" xr:uid="{3E85A05A-BAD8-4439-A190-2CD3783202DD}"/>
    <hyperlink ref="A40" r:id="rId38" display="https://www.boligportal.dk/lejligheder/slagelse/100m2-3-vaer-id-5195180" xr:uid="{1CE1AFEA-DC88-48CB-AD41-A146204E1C06}"/>
    <hyperlink ref="A42" r:id="rId39" display="https://www.boligportal.dk/lejligheder/slagelse/102m2-3-vaer-id-5196649" xr:uid="{BFD4AF25-1568-45F1-96D9-461196265CE5}"/>
    <hyperlink ref="A46" r:id="rId40" display="https://www.boligportal.dk/lejligheder/slagelse/76m2-3-vaer-id-5090618" xr:uid="{01315508-9A85-480B-9A44-625811AC3FE6}"/>
    <hyperlink ref="A45" r:id="rId41" display="https://www.boligportal.dk/lejligheder/slagelse/76m2-3-vaer-id-5090619" xr:uid="{BA16BDFA-2672-4FD4-A053-4969CACEB2D4}"/>
    <hyperlink ref="A32" r:id="rId42" display="https://www.boligportal.dk/lejligheder/slagelse/79m2-2-vaer-id-5197437" xr:uid="{1E45FDA1-34F9-48D7-94BC-CEEE3501394B}"/>
    <hyperlink ref="A58" r:id="rId43" display="https://www.boligportal.dk/lejligheder/slagelse/68m2-3-vaer-id-5198024" xr:uid="{2588BFC1-974C-4CB3-AFB8-3DB3B5D5AA7E}"/>
    <hyperlink ref="A33" r:id="rId44" display="https://www.boligportal.dk/lejligheder/slagelse/79m2-2-vaer-id-5198228" xr:uid="{C732E355-B2FB-43D4-8675-27B7047D4186}"/>
    <hyperlink ref="A68" r:id="rId45" display="https://www.boligportal.dk/lejligheder/slagelse/93m2-4-vaer-id-5199153" xr:uid="{C126A6F3-15ED-4A03-AF60-09DC39FC5029}"/>
    <hyperlink ref="A36" r:id="rId46" display="https://www.boligportal.dk/lejligheder/slagelse/68m2-2-vaer-id-4658399" xr:uid="{356E04C6-0955-46E9-9A63-6C01C4B39755}"/>
    <hyperlink ref="A31" r:id="rId47" display="https://www.boligportal.dk/lejligheder/slagelse/69m2-2-vaer-id-5200630" xr:uid="{B942AF74-14AD-4D50-89BE-19E1D4020DFF}"/>
    <hyperlink ref="A65" r:id="rId48" display="https://www.boligportal.dk/r%C3%A6kkehuse/slagelse/104m2-3-vaer-id-5200705" xr:uid="{BC25234B-760E-4538-9913-FB747F4FA6FB}"/>
    <hyperlink ref="A43" r:id="rId49" display="https://www.boligportal.dk/lejligheder/slagelse/86m2-3-vaer-id-5200742" xr:uid="{4CC599C2-C010-4D03-A5EF-146B7B814076}"/>
    <hyperlink ref="A63" r:id="rId50" display="https://www.boligportal.dk/lejligheder/slagelse/77m2-3-vaer-id-4829283" xr:uid="{7BB63BBE-204C-4553-844A-85792B70100F}"/>
    <hyperlink ref="A76" r:id="rId51" display="https://www.boligportal.dk/lejligheder/slagelse/210m2-5-vaer-id-5136034" xr:uid="{10BED8A8-C58A-47EF-94FE-1FCF37B996C7}"/>
    <hyperlink ref="A74" r:id="rId52" display="https://www.boligportal.dk/lejligheder/slagelse/100m2-4-vaer-id-5201387" xr:uid="{C4BEF8BE-4B3D-48C1-AF0F-3B157511A068}"/>
    <hyperlink ref="A41" r:id="rId53" display="https://www.boligportal.dk/lejligheder/slagelse/101m2-3-vaer-id-4603489" xr:uid="{4E484388-DE76-4958-B9F9-7FBDFF5C55F7}"/>
    <hyperlink ref="A38" r:id="rId54" display="https://www.boligportal.dk/lejligheder/slagelse/53m2-2-vaer-id-5201667" xr:uid="{C47DBECA-656F-4CCD-953B-E832E0D685D2}"/>
    <hyperlink ref="A75" r:id="rId55" display="https://www.boligportal.dk/r%C3%A6kkehuse/slagelse/104m2-4-vaer-id-5201889" xr:uid="{ED2454FE-E76C-408E-B66D-1D32588F9124}"/>
    <hyperlink ref="A67" r:id="rId56" display="https://www.boligportal.dk/lejligheder/slagelse/130m2-4-vaer-id-3150133" xr:uid="{85DCBF10-07D7-4051-92EA-89327CDC2F08}"/>
    <hyperlink ref="A66" r:id="rId57" display="https://www.boligportal.dk/lejligheder/slagelse/118m2-4-vaer-id-3858796" xr:uid="{DB2818FE-F607-41C1-B66F-B5C2BA48A834}"/>
    <hyperlink ref="A70" r:id="rId58" display="https://www.boligportal.dk/lejligheder/slagelse/108m2-4-vaer-id-4905826" xr:uid="{C7851483-24C0-4F90-9DEA-121FC1D674A1}"/>
    <hyperlink ref="A61" r:id="rId59" display="https://www.boligportal.dk/lejligheder/slagelse/72m2-3-vaer-id-5204248" xr:uid="{83787D22-90FA-4F0E-9E21-6FFA38328BB1}"/>
    <hyperlink ref="A60" r:id="rId60" display="https://www.boligportal.dk/lejligheder/slagelse/91m2-3-vaer-id-4611908" xr:uid="{62EB140F-8F40-4EBA-9F1C-034E344A504A}"/>
    <hyperlink ref="A62" r:id="rId61" display="https://www.boligportal.dk/lejligheder/slagelse/80m2-3-vaer-id-5205986" xr:uid="{44D91483-78A8-4588-8C4A-5D3FBFB93F8A}"/>
    <hyperlink ref="A64" r:id="rId62" display="https://www.boligportal.dk/lejligheder/slagelse/80m2-3-vaer-id-5206363" xr:uid="{38EB5527-E5D7-420D-8B5A-23A861F2C375}"/>
    <hyperlink ref="A71" r:id="rId63" display="https://www.boligportal.dk/lejligheder/slagelse/103m2-4-vaer-id-5204011" xr:uid="{36F41444-BAB2-4D3B-987C-70066E750C10}"/>
    <hyperlink ref="A39" r:id="rId64" display="https://www.boligportal.dk/lejligheder/slagelse/65m2-3-vaer-id-5207243" xr:uid="{E70180F4-BF44-41CA-A163-67D874DF1CA9}"/>
    <hyperlink ref="A37" r:id="rId65" display="https://www.boligportal.dk/lejligheder/slagelse/60m2-2-vaer-id-5207245" xr:uid="{D3769641-B530-4524-B621-932D05BEEB4D}"/>
    <hyperlink ref="A34" r:id="rId66" display="https://www.boligportal.dk/lejligheder/slagelse/50m2-2-vaer-id-4123528" xr:uid="{5FE816AE-5C8B-4BEC-B2A9-6AD09AEB0140}"/>
    <hyperlink ref="A73" r:id="rId67" display="https://www.boligportal.dk/lejligheder/slagelse/122m2-4-vaer-id-5207668" xr:uid="{3CF835BA-BC35-4DA2-B999-B7808534AC15}"/>
    <hyperlink ref="A29" r:id="rId68" display="https://www.boligportal.dk/lejligheder/slagelse/51m2-2-vaer-id-5207676" xr:uid="{D1D05EFC-76F0-4FEE-A2ED-95CD09FB9312}"/>
  </hyperlinks>
  <pageMargins left="0.7" right="0.7" top="0.75" bottom="0.75" header="0.3" footer="0.3"/>
  <pageSetup paperSize="9" orientation="portrait" r:id="rId69"/>
  <drawing r:id="rId70"/>
  <legacyDrawing r:id="rId7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9" r:id="rId72" name="Button 19">
              <controlPr defaultSize="0" print="0" autoFill="0" autoPict="0" macro="[0]!LejeCompsJusterIndsatData_Boligportalen">
                <anchor moveWithCells="1" sizeWithCells="1">
                  <from>
                    <xdr:col>4</xdr:col>
                    <xdr:colOff>904875</xdr:colOff>
                    <xdr:row>23</xdr:row>
                    <xdr:rowOff>0</xdr:rowOff>
                  </from>
                  <to>
                    <xdr:col>8</xdr:col>
                    <xdr:colOff>19050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8" r:id="rId73" name="Button 28">
              <controlPr defaultSize="0" print="0" autoFill="0" autoPict="0" macro="[0]!CallDeleteObjects">
                <anchor moveWithCells="1" sizeWithCells="1">
                  <from>
                    <xdr:col>8</xdr:col>
                    <xdr:colOff>161925</xdr:colOff>
                    <xdr:row>23</xdr:row>
                    <xdr:rowOff>0</xdr:rowOff>
                  </from>
                  <to>
                    <xdr:col>11</xdr:col>
                    <xdr:colOff>95250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2" r:id="rId74" name="Button 92">
              <controlPr defaultSize="0" print="0" autoFill="0" autoPict="0" macro="[0]!LejeCompsJusterIndsatData_Boligsurf">
                <anchor moveWithCells="1" sizeWithCells="1">
                  <from>
                    <xdr:col>11</xdr:col>
                    <xdr:colOff>304800</xdr:colOff>
                    <xdr:row>23</xdr:row>
                    <xdr:rowOff>0</xdr:rowOff>
                  </from>
                  <to>
                    <xdr:col>16</xdr:col>
                    <xdr:colOff>219075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3" r:id="rId75" name="Button 93">
              <controlPr defaultSize="0" print="0" autoFill="0" autoPict="0" macro="[0]!LejeCompsJusterIndsatData_Lejebolig">
                <anchor moveWithCells="1" sizeWithCells="1">
                  <from>
                    <xdr:col>16</xdr:col>
                    <xdr:colOff>304800</xdr:colOff>
                    <xdr:row>23</xdr:row>
                    <xdr:rowOff>0</xdr:rowOff>
                  </from>
                  <to>
                    <xdr:col>22</xdr:col>
                    <xdr:colOff>104775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4" r:id="rId76" name="Button 94">
              <controlPr defaultSize="0" print="0" autoFill="0" autoPict="0" macro="[0]!CallDeleteObjects">
                <anchor moveWithCells="1" sizeWithCells="1">
                  <from>
                    <xdr:col>9</xdr:col>
                    <xdr:colOff>419100</xdr:colOff>
                    <xdr:row>0</xdr:row>
                    <xdr:rowOff>114300</xdr:rowOff>
                  </from>
                  <to>
                    <xdr:col>11</xdr:col>
                    <xdr:colOff>228600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5" r:id="rId77" name="Button 235">
              <controlPr defaultSize="0" print="0" autoFill="0" autoPict="0" macro="[0]!CallDeleteObjects">
                <anchor moveWithCells="1" sizeWithCells="1">
                  <from>
                    <xdr:col>9</xdr:col>
                    <xdr:colOff>419100</xdr:colOff>
                    <xdr:row>27</xdr:row>
                    <xdr:rowOff>114300</xdr:rowOff>
                  </from>
                  <to>
                    <xdr:col>11</xdr:col>
                    <xdr:colOff>228600</xdr:colOff>
                    <xdr:row>27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1" r:id="rId78" name="Button 331">
              <controlPr defaultSize="0" print="0" autoFill="0" autoPict="0" macro="[0]!CallDeleteObjects">
                <anchor moveWithCells="1" sizeWithCells="1">
                  <from>
                    <xdr:col>9</xdr:col>
                    <xdr:colOff>419100</xdr:colOff>
                    <xdr:row>27</xdr:row>
                    <xdr:rowOff>114300</xdr:rowOff>
                  </from>
                  <to>
                    <xdr:col>11</xdr:col>
                    <xdr:colOff>228600</xdr:colOff>
                    <xdr:row>27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3" r:id="rId79" name="Button 433">
              <controlPr defaultSize="0" print="0" autoFill="0" autoPict="0" macro="[0]!CallDeleteObjects">
                <anchor moveWithCells="1" sizeWithCells="1">
                  <from>
                    <xdr:col>9</xdr:col>
                    <xdr:colOff>419100</xdr:colOff>
                    <xdr:row>27</xdr:row>
                    <xdr:rowOff>114300</xdr:rowOff>
                  </from>
                  <to>
                    <xdr:col>11</xdr:col>
                    <xdr:colOff>228600</xdr:colOff>
                    <xdr:row>27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7" r:id="rId80" name="Button 607">
              <controlPr defaultSize="0" print="0" autoFill="0" autoPict="0" macro="[0]!CallDeleteObjects">
                <anchor moveWithCells="1" sizeWithCells="1">
                  <from>
                    <xdr:col>9</xdr:col>
                    <xdr:colOff>419100</xdr:colOff>
                    <xdr:row>27</xdr:row>
                    <xdr:rowOff>114300</xdr:rowOff>
                  </from>
                  <to>
                    <xdr:col>11</xdr:col>
                    <xdr:colOff>228600</xdr:colOff>
                    <xdr:row>27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5" r:id="rId81" name="Button 625">
              <controlPr defaultSize="0" print="0" autoFill="0" autoPict="0" macro="[0]!CallDeleteObjects">
                <anchor moveWithCells="1" sizeWithCells="1">
                  <from>
                    <xdr:col>9</xdr:col>
                    <xdr:colOff>419100</xdr:colOff>
                    <xdr:row>27</xdr:row>
                    <xdr:rowOff>114300</xdr:rowOff>
                  </from>
                  <to>
                    <xdr:col>11</xdr:col>
                    <xdr:colOff>228600</xdr:colOff>
                    <xdr:row>27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8" r:id="rId82" name="Button 638">
              <controlPr defaultSize="0" print="0" autoFill="0" autoPict="0" macro="[0]!CallDeleteObjects">
                <anchor moveWithCells="1" sizeWithCells="1">
                  <from>
                    <xdr:col>9</xdr:col>
                    <xdr:colOff>419100</xdr:colOff>
                    <xdr:row>27</xdr:row>
                    <xdr:rowOff>114300</xdr:rowOff>
                  </from>
                  <to>
                    <xdr:col>11</xdr:col>
                    <xdr:colOff>228600</xdr:colOff>
                    <xdr:row>27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0" r:id="rId83" name="Button 690">
              <controlPr defaultSize="0" print="0" autoFill="0" autoPict="0" macro="[0]!CallDeleteObjects">
                <anchor moveWithCells="1" sizeWithCells="1">
                  <from>
                    <xdr:col>9</xdr:col>
                    <xdr:colOff>419100</xdr:colOff>
                    <xdr:row>27</xdr:row>
                    <xdr:rowOff>114300</xdr:rowOff>
                  </from>
                  <to>
                    <xdr:col>11</xdr:col>
                    <xdr:colOff>228600</xdr:colOff>
                    <xdr:row>27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8" r:id="rId84" name="Button 738">
              <controlPr defaultSize="0" print="0" autoFill="0" autoPict="0" macro="[0]!CallDeleteObjects">
                <anchor moveWithCells="1" sizeWithCells="1">
                  <from>
                    <xdr:col>9</xdr:col>
                    <xdr:colOff>419100</xdr:colOff>
                    <xdr:row>27</xdr:row>
                    <xdr:rowOff>114300</xdr:rowOff>
                  </from>
                  <to>
                    <xdr:col>11</xdr:col>
                    <xdr:colOff>228600</xdr:colOff>
                    <xdr:row>27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0" r:id="rId85" name="Button 750">
              <controlPr defaultSize="0" print="0" autoFill="0" autoPict="0" macro="[0]!CallDeleteObjects">
                <anchor moveWithCells="1" sizeWithCells="1">
                  <from>
                    <xdr:col>9</xdr:col>
                    <xdr:colOff>419100</xdr:colOff>
                    <xdr:row>27</xdr:row>
                    <xdr:rowOff>114300</xdr:rowOff>
                  </from>
                  <to>
                    <xdr:col>11</xdr:col>
                    <xdr:colOff>228600</xdr:colOff>
                    <xdr:row>27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7" r:id="rId86" name="Button 767">
              <controlPr defaultSize="0" print="0" autoFill="0" autoPict="0" macro="[0]!CallDeleteObjects">
                <anchor moveWithCells="1" sizeWithCells="1">
                  <from>
                    <xdr:col>9</xdr:col>
                    <xdr:colOff>419100</xdr:colOff>
                    <xdr:row>27</xdr:row>
                    <xdr:rowOff>114300</xdr:rowOff>
                  </from>
                  <to>
                    <xdr:col>11</xdr:col>
                    <xdr:colOff>228600</xdr:colOff>
                    <xdr:row>27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9" r:id="rId87" name="Button 819">
              <controlPr defaultSize="0" print="0" autoFill="0" autoPict="0" macro="[0]!CallDeleteObjects">
                <anchor moveWithCells="1" sizeWithCells="1">
                  <from>
                    <xdr:col>9</xdr:col>
                    <xdr:colOff>419100</xdr:colOff>
                    <xdr:row>27</xdr:row>
                    <xdr:rowOff>114300</xdr:rowOff>
                  </from>
                  <to>
                    <xdr:col>11</xdr:col>
                    <xdr:colOff>228600</xdr:colOff>
                    <xdr:row>27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E7B62-B5C6-44FB-8FBA-C80D1D31F2B8}">
  <sheetPr codeName="Sheet9">
    <tabColor theme="1"/>
  </sheetPr>
  <dimension ref="A1:Q1"/>
  <sheetViews>
    <sheetView showGridLines="0" tabSelected="1" zoomScale="115" zoomScaleNormal="115" workbookViewId="0">
      <pane ySplit="1" topLeftCell="A2" activePane="bottomLeft" state="frozen"/>
      <selection pane="bottomLeft" activeCell="J9" sqref="J9"/>
    </sheetView>
  </sheetViews>
  <sheetFormatPr defaultColWidth="9.140625" defaultRowHeight="11.25" outlineLevelCol="1" x14ac:dyDescent="0.2"/>
  <cols>
    <col min="1" max="1" width="16.7109375" style="64" customWidth="1"/>
    <col min="2" max="2" width="14.42578125" style="64" customWidth="1"/>
    <col min="3" max="3" width="11.7109375" style="64" bestFit="1" customWidth="1" outlineLevel="1"/>
    <col min="4" max="4" width="2.140625" style="64" customWidth="1" outlineLevel="1"/>
    <col min="5" max="5" width="8.5703125" style="60" bestFit="1" customWidth="1" outlineLevel="1"/>
    <col min="6" max="6" width="8.7109375" style="88" bestFit="1" customWidth="1"/>
    <col min="7" max="7" width="10.42578125" style="88" bestFit="1" customWidth="1"/>
    <col min="8" max="8" width="7.28515625" style="88" bestFit="1" customWidth="1"/>
    <col min="9" max="9" width="4" style="64" bestFit="1" customWidth="1"/>
    <col min="10" max="10" width="10.85546875" style="64" bestFit="1" customWidth="1"/>
    <col min="11" max="11" width="16.5703125" style="64" bestFit="1" customWidth="1"/>
    <col min="12" max="12" width="10" style="66" bestFit="1" customWidth="1"/>
    <col min="13" max="13" width="24.28515625" style="64" bestFit="1" customWidth="1"/>
    <col min="14" max="14" width="2.140625" style="65" bestFit="1" customWidth="1"/>
    <col min="15" max="15" width="9.28515625" style="64" bestFit="1" customWidth="1"/>
    <col min="16" max="16" width="12.5703125" style="64" bestFit="1" customWidth="1"/>
    <col min="17" max="17" width="14.85546875" style="64" bestFit="1" customWidth="1"/>
    <col min="18" max="16384" width="9.140625" style="64"/>
  </cols>
  <sheetData>
    <row r="1" spans="1:17" ht="68.25" customHeight="1" x14ac:dyDescent="0.2">
      <c r="A1" s="60"/>
      <c r="B1" s="60"/>
      <c r="C1" s="60"/>
      <c r="D1" s="60"/>
      <c r="I1" s="60"/>
      <c r="J1" s="60"/>
      <c r="K1" s="60"/>
      <c r="M1" s="61" t="s">
        <v>503</v>
      </c>
      <c r="N1" s="62"/>
      <c r="O1" s="63" t="e">
        <f t="array" ref="O1">INDEX('AutoText (2)'!$R$2:$R$1431,MAX(IF(ISERROR(FIND('AutoText (2)'!$R$2:$R$1431,MID(A1,FIND(",",A1),LEN(A1)))),-1,1)*(ROW('AutoText (2)'!$R$2:$R$1431)-ROW('AutoText (2)'!$R$2)+1)))</f>
        <v>#VALUE!</v>
      </c>
      <c r="P1" s="60" t="s">
        <v>506</v>
      </c>
      <c r="Q1" s="60" t="s">
        <v>667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KlargørFraBoligaInputOgOpsætTabel">
                <anchor moveWithCells="1" sizeWithCells="1">
                  <from>
                    <xdr:col>1</xdr:col>
                    <xdr:colOff>0</xdr:colOff>
                    <xdr:row>0</xdr:row>
                    <xdr:rowOff>342900</xdr:rowOff>
                  </from>
                  <to>
                    <xdr:col>2</xdr:col>
                    <xdr:colOff>28575</xdr:colOff>
                    <xdr:row>0</xdr:row>
                    <xdr:rowOff>704850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5" name="Button 6">
              <controlPr defaultSize="0" print="0" autoFill="0" autoPict="0" macro="[0]!NulstilInput">
                <anchor moveWithCells="1" sizeWithCells="1">
                  <from>
                    <xdr:col>0</xdr:col>
                    <xdr:colOff>0</xdr:colOff>
                    <xdr:row>0</xdr:row>
                    <xdr:rowOff>342900</xdr:rowOff>
                  </from>
                  <to>
                    <xdr:col>0</xdr:col>
                    <xdr:colOff>914400</xdr:colOff>
                    <xdr:row>0</xdr:row>
                    <xdr:rowOff>704850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6" name="Button 7">
              <controlPr defaultSize="0" print="0" autoFill="0" autoPict="0" macro="[0]!DanskTalFormat">
                <anchor moveWithCells="1" sizeWithCells="1">
                  <from>
                    <xdr:col>4</xdr:col>
                    <xdr:colOff>66675</xdr:colOff>
                    <xdr:row>0</xdr:row>
                    <xdr:rowOff>342900</xdr:rowOff>
                  </from>
                  <to>
                    <xdr:col>7</xdr:col>
                    <xdr:colOff>361950</xdr:colOff>
                    <xdr:row>0</xdr:row>
                    <xdr:rowOff>704850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r:id="rId7" name="Button 8">
              <controlPr defaultSize="0" print="0" autoFill="0" autoPict="0" macro="[0]!IndsætFraBoligaInput">
                <anchor moveWithCells="1" sizeWithCells="1">
                  <from>
                    <xdr:col>7</xdr:col>
                    <xdr:colOff>466725</xdr:colOff>
                    <xdr:row>0</xdr:row>
                    <xdr:rowOff>342900</xdr:rowOff>
                  </from>
                  <to>
                    <xdr:col>9</xdr:col>
                    <xdr:colOff>676275</xdr:colOff>
                    <xdr:row>0</xdr:row>
                    <xdr:rowOff>704850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r:id="rId8" name="Button 9">
              <controlPr defaultSize="0" print="0" autoFill="0" autoPict="0" macro="[0]!GåTilNæsteRækkeTilInputs">
                <anchor moveWithCells="1" sizeWithCells="1">
                  <from>
                    <xdr:col>10</xdr:col>
                    <xdr:colOff>19050</xdr:colOff>
                    <xdr:row>0</xdr:row>
                    <xdr:rowOff>342900</xdr:rowOff>
                  </from>
                  <to>
                    <xdr:col>10</xdr:col>
                    <xdr:colOff>981075</xdr:colOff>
                    <xdr:row>0</xdr:row>
                    <xdr:rowOff>704850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065CB-572D-4657-B4BE-DEAEAC30F7AF}">
  <sheetPr codeName="Sheet11">
    <tabColor theme="9"/>
  </sheetPr>
  <dimension ref="A1:S1"/>
  <sheetViews>
    <sheetView showGridLines="0" zoomScale="160" zoomScaleNormal="160" workbookViewId="0">
      <pane ySplit="1" topLeftCell="A2" activePane="bottomLeft" state="frozen"/>
      <selection pane="bottomLeft"/>
    </sheetView>
  </sheetViews>
  <sheetFormatPr defaultColWidth="9.140625" defaultRowHeight="8.25" x14ac:dyDescent="0.25"/>
  <cols>
    <col min="1" max="1" width="3.140625" style="78" bestFit="1" customWidth="1"/>
    <col min="2" max="2" width="12.5703125" style="79" bestFit="1" customWidth="1"/>
    <col min="3" max="3" width="4.85546875" style="80" bestFit="1" customWidth="1"/>
    <col min="4" max="4" width="6" style="80" bestFit="1" customWidth="1"/>
    <col min="5" max="5" width="4.7109375" style="80" bestFit="1" customWidth="1"/>
    <col min="6" max="6" width="9.28515625" style="80" bestFit="1" customWidth="1"/>
    <col min="7" max="7" width="8.42578125" style="80" bestFit="1" customWidth="1"/>
    <col min="8" max="8" width="8.28515625" style="80" bestFit="1" customWidth="1"/>
    <col min="9" max="9" width="7.140625" style="81" bestFit="1" customWidth="1"/>
    <col min="10" max="10" width="15.140625" style="82" bestFit="1" customWidth="1"/>
    <col min="11" max="11" width="7.7109375" style="81" bestFit="1" customWidth="1"/>
    <col min="12" max="12" width="8.5703125" style="83" bestFit="1" customWidth="1"/>
    <col min="13" max="13" width="6.5703125" style="81" bestFit="1" customWidth="1"/>
    <col min="14" max="14" width="2.42578125" style="74" bestFit="1" customWidth="1"/>
    <col min="15" max="15" width="4.140625" style="74" customWidth="1"/>
    <col min="16" max="16" width="6" style="74" bestFit="1" customWidth="1"/>
    <col min="17" max="17" width="3.85546875" style="74" bestFit="1" customWidth="1"/>
    <col min="18" max="16384" width="9.140625" style="74"/>
  </cols>
  <sheetData>
    <row r="1" spans="1:19" x14ac:dyDescent="0.25">
      <c r="A1" s="139" t="s">
        <v>39</v>
      </c>
      <c r="B1" s="111" t="s">
        <v>554</v>
      </c>
      <c r="C1" s="112" t="s">
        <v>5</v>
      </c>
      <c r="D1" s="112" t="s">
        <v>1</v>
      </c>
      <c r="E1" s="112" t="s">
        <v>496</v>
      </c>
      <c r="F1" s="112" t="s">
        <v>555</v>
      </c>
      <c r="G1" s="112" t="s">
        <v>6</v>
      </c>
      <c r="H1" s="113" t="s">
        <v>7</v>
      </c>
      <c r="I1" s="113" t="s">
        <v>495</v>
      </c>
      <c r="J1" s="114" t="s">
        <v>12</v>
      </c>
      <c r="K1" s="113" t="s">
        <v>13</v>
      </c>
      <c r="L1" s="140" t="s">
        <v>4</v>
      </c>
      <c r="M1" s="74"/>
      <c r="P1" s="75" t="s">
        <v>15</v>
      </c>
      <c r="Q1" s="76" t="s">
        <v>14</v>
      </c>
      <c r="R1" s="77" t="s">
        <v>502</v>
      </c>
      <c r="S1" s="84" t="s">
        <v>505</v>
      </c>
    </row>
  </sheetData>
  <conditionalFormatting sqref="N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disablePrompts="1" count="1">
    <dataValidation type="list" allowBlank="1" showInputMessage="1" showErrorMessage="1" sqref="R1" xr:uid="{156947B6-B288-45A4-B2FE-4461C3446102}">
      <formula1>"Helvetica, Calibri"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85D7D-F324-4213-9C78-B5C3D8992825}">
  <sheetPr codeName="Sheet12">
    <tabColor rgb="FF0070C0"/>
    <outlinePr summaryBelow="0" summaryRight="0"/>
  </sheetPr>
  <dimension ref="A1:R1431"/>
  <sheetViews>
    <sheetView showGridLines="0" zoomScale="130" zoomScaleNormal="130" workbookViewId="0">
      <pane ySplit="1" topLeftCell="A2" activePane="bottomLeft" state="frozen"/>
      <selection pane="bottomLeft" activeCell="B10" sqref="B10"/>
    </sheetView>
  </sheetViews>
  <sheetFormatPr defaultColWidth="9.140625" defaultRowHeight="8.25" x14ac:dyDescent="0.15"/>
  <cols>
    <col min="1" max="1" width="22" style="42" customWidth="1"/>
    <col min="2" max="2" width="10.28515625" style="9" bestFit="1" customWidth="1"/>
    <col min="3" max="3" width="6.7109375" style="9" bestFit="1" customWidth="1"/>
    <col min="4" max="4" width="6.28515625" style="9" bestFit="1" customWidth="1"/>
    <col min="5" max="5" width="4" style="44" customWidth="1"/>
    <col min="6" max="6" width="4.5703125" style="9" customWidth="1"/>
    <col min="7" max="8" width="9.140625" style="9" customWidth="1"/>
    <col min="9" max="9" width="9.140625" style="9" customWidth="1" collapsed="1"/>
    <col min="10" max="11" width="9.140625" style="9" customWidth="1"/>
    <col min="12" max="13" width="9.140625" style="42" customWidth="1"/>
    <col min="14" max="15" width="9.140625" style="9" customWidth="1"/>
    <col min="16" max="16" width="9.140625" style="9"/>
    <col min="17" max="17" width="4.7109375" style="9" bestFit="1" customWidth="1"/>
    <col min="18" max="18" width="13.140625" style="9" bestFit="1" customWidth="1"/>
    <col min="19" max="16384" width="9.140625" style="9"/>
  </cols>
  <sheetData>
    <row r="1" spans="1:18" ht="9" thickBot="1" x14ac:dyDescent="0.2">
      <c r="A1" s="45"/>
      <c r="B1" s="46"/>
      <c r="C1" s="46"/>
      <c r="D1" s="46"/>
      <c r="E1" s="47"/>
      <c r="F1" s="46"/>
      <c r="G1" s="46"/>
      <c r="H1" s="46"/>
      <c r="I1" s="46"/>
      <c r="J1" s="46"/>
      <c r="K1" s="46"/>
      <c r="L1" s="45"/>
      <c r="M1" s="45"/>
      <c r="N1" s="46"/>
      <c r="O1" s="46"/>
      <c r="Q1" s="9" t="s">
        <v>557</v>
      </c>
      <c r="R1" s="9" t="s">
        <v>551</v>
      </c>
    </row>
    <row r="2" spans="1:18" x14ac:dyDescent="0.15">
      <c r="A2" s="54" t="s">
        <v>20</v>
      </c>
      <c r="B2" s="55">
        <v>1</v>
      </c>
      <c r="C2" s="58">
        <v>2665</v>
      </c>
      <c r="D2" s="54" t="str">
        <f>IFERROR(VLOOKUP(C2,$Q$2:$R$584,2,0),"")</f>
        <v>Vallensbæk strand</v>
      </c>
      <c r="E2" s="54" t="str">
        <f>+"Below table lists commonhold sales since 2018 in "&amp;D2&amp;" Properties constructed before 2000 are excluded"</f>
        <v>Below table lists commonhold sales since 2018 in Vallensbæk strand Properties constructed before 2000 are excluded</v>
      </c>
      <c r="F2" s="56"/>
      <c r="G2" s="56"/>
      <c r="H2" s="56"/>
      <c r="I2" s="56"/>
      <c r="J2" s="56"/>
      <c r="K2" s="56"/>
      <c r="L2" s="57"/>
      <c r="M2" s="57"/>
      <c r="N2" s="56"/>
      <c r="O2" s="56"/>
      <c r="Q2" s="9">
        <v>783</v>
      </c>
      <c r="R2" s="9" t="s">
        <v>510</v>
      </c>
    </row>
    <row r="3" spans="1:18" x14ac:dyDescent="0.15">
      <c r="A3" s="9"/>
      <c r="B3" s="43">
        <f>+B2+1</f>
        <v>2</v>
      </c>
      <c r="C3" s="59">
        <v>2625</v>
      </c>
      <c r="D3" s="9" t="str">
        <f>IFERROR(VLOOKUP(C3,$Q$2:$R$584,2,0),"")</f>
        <v>Vallensbæk</v>
      </c>
      <c r="E3" s="9" t="str">
        <f>+"Below table lists commonhold sales since 2018 in "&amp;D2&amp;" &amp; "&amp;D3&amp;" Properties constructed before 2000 are excluded"</f>
        <v>Below table lists commonhold sales since 2018 in Vallensbæk strand &amp; Vallensbæk Properties constructed before 2000 are excluded</v>
      </c>
      <c r="Q3" s="9">
        <v>800</v>
      </c>
      <c r="R3" s="9" t="s">
        <v>558</v>
      </c>
    </row>
    <row r="4" spans="1:18" x14ac:dyDescent="0.15">
      <c r="A4" s="9"/>
      <c r="B4" s="43">
        <f>+B3+1</f>
        <v>3</v>
      </c>
      <c r="C4" s="59">
        <v>2635</v>
      </c>
      <c r="D4" s="9" t="str">
        <f t="shared" ref="D4:D7" si="0">IFERROR(VLOOKUP(C4,$Q$2:$R$584,2,0),"")</f>
        <v>Ishøj</v>
      </c>
      <c r="E4" s="9" t="str">
        <f>+"Below table lists commonhold sales since 2018 in "&amp;D2&amp;", "&amp;D3&amp;" &amp; "&amp;D4&amp;" Properties constructed before 2000 are excluded"</f>
        <v>Below table lists commonhold sales since 2018 in Vallensbæk strand, Vallensbæk &amp; Ishøj Properties constructed before 2000 are excluded</v>
      </c>
      <c r="Q4" s="9">
        <v>900</v>
      </c>
      <c r="R4" s="9" t="s">
        <v>511</v>
      </c>
    </row>
    <row r="5" spans="1:18" x14ac:dyDescent="0.15">
      <c r="A5" s="41"/>
      <c r="B5" s="43">
        <f>+B4+1</f>
        <v>4</v>
      </c>
      <c r="C5" s="59">
        <v>2660</v>
      </c>
      <c r="D5" s="9" t="str">
        <f t="shared" si="0"/>
        <v>Brøndby strand</v>
      </c>
      <c r="E5" s="9" t="str">
        <f>+"Below table lists commonhold sales since 2018 in "&amp;$D$2&amp;", "&amp;$D$3&amp;", "&amp;$D$4&amp;" &amp; "&amp;D5&amp;" Properties constructed before 2000 are excluded"</f>
        <v>Below table lists commonhold sales since 2018 in Vallensbæk strand, Vallensbæk, Ishøj &amp; Brøndby strand Properties constructed before 2000 are excluded</v>
      </c>
      <c r="Q5" s="9">
        <v>917</v>
      </c>
      <c r="R5" s="9" t="s">
        <v>512</v>
      </c>
    </row>
    <row r="6" spans="1:18" x14ac:dyDescent="0.15">
      <c r="B6" s="43">
        <f>+B5+1</f>
        <v>5</v>
      </c>
      <c r="C6" s="59"/>
      <c r="D6" s="9" t="str">
        <f t="shared" si="0"/>
        <v/>
      </c>
      <c r="E6" s="9" t="str">
        <f>+"Below table lists commonhold sales since 2018 in "&amp;$D$2&amp;", "&amp;$D$3&amp;", "&amp;$D$4&amp;", "&amp;$D$5&amp;" &amp; "&amp;D6&amp;" Properties constructed before 2000 are excluded"</f>
        <v>Below table lists commonhold sales since 2018 in Vallensbæk strand, Vallensbæk, Ishøj, Brøndby strand &amp;  Properties constructed before 2000 are excluded</v>
      </c>
      <c r="Q6" s="9">
        <v>960</v>
      </c>
      <c r="R6" s="9" t="s">
        <v>513</v>
      </c>
    </row>
    <row r="7" spans="1:18" x14ac:dyDescent="0.15">
      <c r="B7" s="43">
        <f>+B6+1</f>
        <v>6</v>
      </c>
      <c r="C7" s="59"/>
      <c r="D7" s="9" t="str">
        <f t="shared" si="0"/>
        <v/>
      </c>
      <c r="E7" s="9" t="str">
        <f>+"Below table lists commonhold sales since 2018 in "&amp;$D$2&amp;", "&amp;$D$3&amp;", "&amp;$D$4&amp;", "&amp;$D$5&amp;", "&amp;$D$6&amp;" &amp; "&amp;D7&amp;" Properties constructed before 2000 are excluded"</f>
        <v>Below table lists commonhold sales since 2018 in Vallensbæk strand, Vallensbæk, Ishøj, Brøndby strand,  &amp;  Properties constructed before 2000 are excluded</v>
      </c>
      <c r="Q7" s="9">
        <v>999</v>
      </c>
      <c r="R7" s="9" t="s">
        <v>511</v>
      </c>
    </row>
    <row r="8" spans="1:18" ht="9" thickBot="1" x14ac:dyDescent="0.2">
      <c r="A8" s="45"/>
      <c r="B8" s="46"/>
      <c r="C8" s="46"/>
      <c r="D8" s="46"/>
      <c r="E8" s="47"/>
      <c r="F8" s="46"/>
      <c r="G8" s="46"/>
      <c r="H8" s="46"/>
      <c r="I8" s="46"/>
      <c r="J8" s="46"/>
      <c r="K8" s="46"/>
      <c r="L8" s="45"/>
      <c r="M8" s="45"/>
      <c r="N8" s="46"/>
      <c r="O8" s="46"/>
      <c r="Q8" s="9">
        <v>1000</v>
      </c>
      <c r="R8" s="9" t="s">
        <v>44</v>
      </c>
    </row>
    <row r="9" spans="1:18" x14ac:dyDescent="0.15">
      <c r="A9" s="48" t="s">
        <v>18</v>
      </c>
      <c r="B9" s="49">
        <f>285000000/C9</f>
        <v>30139.593908629442</v>
      </c>
      <c r="C9" s="50">
        <v>9456</v>
      </c>
      <c r="D9" s="51">
        <v>96</v>
      </c>
      <c r="E9" s="52"/>
      <c r="F9" s="52"/>
      <c r="G9" s="52"/>
      <c r="H9" s="52"/>
      <c r="I9" s="52"/>
      <c r="J9" s="52"/>
      <c r="K9" s="52"/>
      <c r="L9" s="53"/>
      <c r="M9" s="53"/>
      <c r="N9" s="52"/>
      <c r="O9" s="52"/>
      <c r="Q9" s="9">
        <v>1050</v>
      </c>
      <c r="R9" s="9" t="s">
        <v>44</v>
      </c>
    </row>
    <row r="10" spans="1:18" x14ac:dyDescent="0.15">
      <c r="A10" s="41" t="s">
        <v>19</v>
      </c>
      <c r="B10" s="9" t="s">
        <v>497</v>
      </c>
      <c r="C10" s="31" t="e">
        <f ca="1">+OFFSET(BoligaOut!A1,MATCH(B10,BoligaOut!B:B,0)-1,11)</f>
        <v>#N/A</v>
      </c>
      <c r="D10" s="32" t="e">
        <f ca="1">C10/B9-1</f>
        <v>#N/A</v>
      </c>
      <c r="E10" s="41" t="e">
        <f ca="1">+"Acquisition basis reflects a "&amp;ROUND(D10*100,2)&amp;"% discount to commonhold sales comparables"</f>
        <v>#N/A</v>
      </c>
      <c r="Q10" s="9">
        <v>1051</v>
      </c>
      <c r="R10" s="9" t="s">
        <v>44</v>
      </c>
    </row>
    <row r="11" spans="1:18" x14ac:dyDescent="0.15">
      <c r="A11" s="41" t="s">
        <v>501</v>
      </c>
      <c r="B11" s="110">
        <v>7</v>
      </c>
      <c r="C11" s="31" t="e">
        <f ca="1">OFFSET(BoligaOut!A1,MATCH(B11,BoligaOut!A:A,0)-1,11)</f>
        <v>#N/A</v>
      </c>
      <c r="D11" s="32" t="e">
        <f ca="1">C11/B9-1</f>
        <v>#N/A</v>
      </c>
      <c r="E11" s="9" t="e">
        <f ca="1">+"Acquisition basis reflects a "&amp;ROUND(D11*100,2)&amp;"% discount to no. "&amp;B11&amp;" commonhold sales comparables"</f>
        <v>#N/A</v>
      </c>
      <c r="Q11" s="9">
        <v>1052</v>
      </c>
      <c r="R11" s="9" t="s">
        <v>44</v>
      </c>
    </row>
    <row r="12" spans="1:18" x14ac:dyDescent="0.15">
      <c r="Q12" s="9">
        <v>1053</v>
      </c>
      <c r="R12" s="9" t="s">
        <v>44</v>
      </c>
    </row>
    <row r="13" spans="1:18" x14ac:dyDescent="0.15">
      <c r="Q13" s="9">
        <v>1054</v>
      </c>
      <c r="R13" s="9" t="s">
        <v>44</v>
      </c>
    </row>
    <row r="14" spans="1:18" x14ac:dyDescent="0.15">
      <c r="B14" s="46"/>
      <c r="C14" s="46"/>
      <c r="D14" s="46"/>
      <c r="E14" s="47"/>
      <c r="F14" s="46"/>
      <c r="Q14" s="9">
        <v>1055</v>
      </c>
      <c r="R14" s="9" t="s">
        <v>44</v>
      </c>
    </row>
    <row r="15" spans="1:18" x14ac:dyDescent="0.15">
      <c r="A15" s="42" t="s">
        <v>661</v>
      </c>
      <c r="B15" s="103">
        <v>18819.444444444445</v>
      </c>
      <c r="C15" s="104">
        <f>1870+7760</f>
        <v>9630</v>
      </c>
      <c r="D15" s="105">
        <f>256+62</f>
        <v>318</v>
      </c>
      <c r="G15" s="106">
        <v>1026.8965517241379</v>
      </c>
      <c r="H15" s="107">
        <f>+G15*C15/D15/12</f>
        <v>2591.460637605725</v>
      </c>
      <c r="Q15" s="9">
        <v>1056</v>
      </c>
      <c r="R15" s="9" t="s">
        <v>44</v>
      </c>
    </row>
    <row r="16" spans="1:18" x14ac:dyDescent="0.15">
      <c r="A16" s="42" t="s">
        <v>662</v>
      </c>
      <c r="B16" s="103">
        <v>18819.444444444445</v>
      </c>
      <c r="C16" s="104">
        <f>1870+7760</f>
        <v>9630</v>
      </c>
      <c r="D16" s="105">
        <f>248+62</f>
        <v>310</v>
      </c>
      <c r="G16" s="106">
        <v>1026.8965517241379</v>
      </c>
      <c r="H16" s="107">
        <f>+G16*C16/D16/12</f>
        <v>2658.3370411568408</v>
      </c>
      <c r="Q16" s="9">
        <v>1057</v>
      </c>
      <c r="R16" s="9" t="s">
        <v>44</v>
      </c>
    </row>
    <row r="17" spans="2:18" x14ac:dyDescent="0.15">
      <c r="B17" s="46"/>
      <c r="C17" s="109">
        <f>+SUM(C15:C16)</f>
        <v>19260</v>
      </c>
      <c r="D17" s="108">
        <f>+SUM(D15:D16)</f>
        <v>628</v>
      </c>
      <c r="E17" s="47"/>
      <c r="F17" s="46"/>
      <c r="Q17" s="9">
        <v>1058</v>
      </c>
      <c r="R17" s="9" t="s">
        <v>44</v>
      </c>
    </row>
    <row r="18" spans="2:18" x14ac:dyDescent="0.15">
      <c r="Q18" s="9">
        <v>1059</v>
      </c>
      <c r="R18" s="9" t="s">
        <v>44</v>
      </c>
    </row>
    <row r="19" spans="2:18" x14ac:dyDescent="0.15">
      <c r="Q19" s="9">
        <v>1060</v>
      </c>
      <c r="R19" s="9" t="s">
        <v>44</v>
      </c>
    </row>
    <row r="20" spans="2:18" x14ac:dyDescent="0.15">
      <c r="Q20" s="9">
        <v>1061</v>
      </c>
      <c r="R20" s="9" t="s">
        <v>44</v>
      </c>
    </row>
    <row r="21" spans="2:18" x14ac:dyDescent="0.15">
      <c r="Q21" s="9">
        <v>1062</v>
      </c>
      <c r="R21" s="9" t="s">
        <v>44</v>
      </c>
    </row>
    <row r="22" spans="2:18" x14ac:dyDescent="0.15">
      <c r="Q22" s="9">
        <v>1063</v>
      </c>
      <c r="R22" s="9" t="s">
        <v>44</v>
      </c>
    </row>
    <row r="23" spans="2:18" x14ac:dyDescent="0.15">
      <c r="Q23" s="9">
        <v>1064</v>
      </c>
      <c r="R23" s="9" t="s">
        <v>44</v>
      </c>
    </row>
    <row r="24" spans="2:18" x14ac:dyDescent="0.15">
      <c r="Q24" s="9">
        <v>1065</v>
      </c>
      <c r="R24" s="9" t="s">
        <v>44</v>
      </c>
    </row>
    <row r="25" spans="2:18" x14ac:dyDescent="0.15">
      <c r="Q25" s="9">
        <v>1066</v>
      </c>
      <c r="R25" s="9" t="s">
        <v>44</v>
      </c>
    </row>
    <row r="26" spans="2:18" x14ac:dyDescent="0.15">
      <c r="Q26" s="9">
        <v>1067</v>
      </c>
      <c r="R26" s="9" t="s">
        <v>44</v>
      </c>
    </row>
    <row r="27" spans="2:18" x14ac:dyDescent="0.15">
      <c r="Q27" s="9">
        <v>1068</v>
      </c>
      <c r="R27" s="9" t="s">
        <v>44</v>
      </c>
    </row>
    <row r="28" spans="2:18" x14ac:dyDescent="0.15">
      <c r="Q28" s="9">
        <v>1069</v>
      </c>
      <c r="R28" s="9" t="s">
        <v>44</v>
      </c>
    </row>
    <row r="29" spans="2:18" x14ac:dyDescent="0.15">
      <c r="Q29" s="9">
        <v>1070</v>
      </c>
      <c r="R29" s="9" t="s">
        <v>44</v>
      </c>
    </row>
    <row r="30" spans="2:18" x14ac:dyDescent="0.15">
      <c r="Q30" s="9">
        <v>1071</v>
      </c>
      <c r="R30" s="9" t="s">
        <v>44</v>
      </c>
    </row>
    <row r="31" spans="2:18" x14ac:dyDescent="0.15">
      <c r="Q31" s="9">
        <v>1072</v>
      </c>
      <c r="R31" s="9" t="s">
        <v>44</v>
      </c>
    </row>
    <row r="32" spans="2:18" x14ac:dyDescent="0.15">
      <c r="Q32" s="9">
        <v>1073</v>
      </c>
      <c r="R32" s="9" t="s">
        <v>44</v>
      </c>
    </row>
    <row r="33" spans="17:18" x14ac:dyDescent="0.15">
      <c r="Q33" s="9">
        <v>1074</v>
      </c>
      <c r="R33" s="9" t="s">
        <v>44</v>
      </c>
    </row>
    <row r="34" spans="17:18" x14ac:dyDescent="0.15">
      <c r="Q34" s="9">
        <v>1092</v>
      </c>
      <c r="R34" s="9" t="s">
        <v>44</v>
      </c>
    </row>
    <row r="35" spans="17:18" x14ac:dyDescent="0.15">
      <c r="Q35" s="9">
        <v>1093</v>
      </c>
      <c r="R35" s="9" t="s">
        <v>44</v>
      </c>
    </row>
    <row r="36" spans="17:18" x14ac:dyDescent="0.15">
      <c r="Q36" s="9">
        <v>1095</v>
      </c>
      <c r="R36" s="9" t="s">
        <v>44</v>
      </c>
    </row>
    <row r="37" spans="17:18" x14ac:dyDescent="0.15">
      <c r="Q37" s="9">
        <v>1098</v>
      </c>
      <c r="R37" s="9" t="s">
        <v>44</v>
      </c>
    </row>
    <row r="38" spans="17:18" x14ac:dyDescent="0.15">
      <c r="Q38" s="9">
        <v>1100</v>
      </c>
      <c r="R38" s="9" t="s">
        <v>44</v>
      </c>
    </row>
    <row r="39" spans="17:18" x14ac:dyDescent="0.15">
      <c r="Q39" s="9">
        <v>1101</v>
      </c>
      <c r="R39" s="9" t="s">
        <v>44</v>
      </c>
    </row>
    <row r="40" spans="17:18" x14ac:dyDescent="0.15">
      <c r="Q40" s="9">
        <v>1102</v>
      </c>
      <c r="R40" s="9" t="s">
        <v>44</v>
      </c>
    </row>
    <row r="41" spans="17:18" x14ac:dyDescent="0.15">
      <c r="Q41" s="9">
        <v>1103</v>
      </c>
      <c r="R41" s="9" t="s">
        <v>44</v>
      </c>
    </row>
    <row r="42" spans="17:18" x14ac:dyDescent="0.15">
      <c r="Q42" s="9">
        <v>1104</v>
      </c>
      <c r="R42" s="9" t="s">
        <v>44</v>
      </c>
    </row>
    <row r="43" spans="17:18" x14ac:dyDescent="0.15">
      <c r="Q43" s="9">
        <v>1105</v>
      </c>
      <c r="R43" s="9" t="s">
        <v>44</v>
      </c>
    </row>
    <row r="44" spans="17:18" x14ac:dyDescent="0.15">
      <c r="Q44" s="9">
        <v>1106</v>
      </c>
      <c r="R44" s="9" t="s">
        <v>44</v>
      </c>
    </row>
    <row r="45" spans="17:18" x14ac:dyDescent="0.15">
      <c r="Q45" s="9">
        <v>1107</v>
      </c>
      <c r="R45" s="9" t="s">
        <v>44</v>
      </c>
    </row>
    <row r="46" spans="17:18" x14ac:dyDescent="0.15">
      <c r="Q46" s="9">
        <v>1110</v>
      </c>
      <c r="R46" s="9" t="s">
        <v>44</v>
      </c>
    </row>
    <row r="47" spans="17:18" x14ac:dyDescent="0.15">
      <c r="Q47" s="9">
        <v>1111</v>
      </c>
      <c r="R47" s="9" t="s">
        <v>44</v>
      </c>
    </row>
    <row r="48" spans="17:18" x14ac:dyDescent="0.15">
      <c r="Q48" s="9">
        <v>1112</v>
      </c>
      <c r="R48" s="9" t="s">
        <v>44</v>
      </c>
    </row>
    <row r="49" spans="17:18" x14ac:dyDescent="0.15">
      <c r="Q49" s="9">
        <v>1113</v>
      </c>
      <c r="R49" s="9" t="s">
        <v>44</v>
      </c>
    </row>
    <row r="50" spans="17:18" x14ac:dyDescent="0.15">
      <c r="Q50" s="9">
        <v>1114</v>
      </c>
      <c r="R50" s="9" t="s">
        <v>44</v>
      </c>
    </row>
    <row r="51" spans="17:18" x14ac:dyDescent="0.15">
      <c r="Q51" s="9">
        <v>1115</v>
      </c>
      <c r="R51" s="9" t="s">
        <v>44</v>
      </c>
    </row>
    <row r="52" spans="17:18" x14ac:dyDescent="0.15">
      <c r="Q52" s="9">
        <v>1116</v>
      </c>
      <c r="R52" s="9" t="s">
        <v>44</v>
      </c>
    </row>
    <row r="53" spans="17:18" x14ac:dyDescent="0.15">
      <c r="Q53" s="9">
        <v>1117</v>
      </c>
      <c r="R53" s="9" t="s">
        <v>44</v>
      </c>
    </row>
    <row r="54" spans="17:18" x14ac:dyDescent="0.15">
      <c r="Q54" s="9">
        <v>1118</v>
      </c>
      <c r="R54" s="9" t="s">
        <v>44</v>
      </c>
    </row>
    <row r="55" spans="17:18" x14ac:dyDescent="0.15">
      <c r="Q55" s="9">
        <v>1119</v>
      </c>
      <c r="R55" s="9" t="s">
        <v>44</v>
      </c>
    </row>
    <row r="56" spans="17:18" x14ac:dyDescent="0.15">
      <c r="Q56" s="9">
        <v>1120</v>
      </c>
      <c r="R56" s="9" t="s">
        <v>44</v>
      </c>
    </row>
    <row r="57" spans="17:18" x14ac:dyDescent="0.15">
      <c r="Q57" s="9">
        <v>1121</v>
      </c>
      <c r="R57" s="9" t="s">
        <v>44</v>
      </c>
    </row>
    <row r="58" spans="17:18" x14ac:dyDescent="0.15">
      <c r="Q58" s="9">
        <v>1122</v>
      </c>
      <c r="R58" s="9" t="s">
        <v>44</v>
      </c>
    </row>
    <row r="59" spans="17:18" x14ac:dyDescent="0.15">
      <c r="Q59" s="9">
        <v>1123</v>
      </c>
      <c r="R59" s="9" t="s">
        <v>44</v>
      </c>
    </row>
    <row r="60" spans="17:18" x14ac:dyDescent="0.15">
      <c r="Q60" s="9">
        <v>1124</v>
      </c>
      <c r="R60" s="9" t="s">
        <v>44</v>
      </c>
    </row>
    <row r="61" spans="17:18" x14ac:dyDescent="0.15">
      <c r="Q61" s="9">
        <v>1125</v>
      </c>
      <c r="R61" s="9" t="s">
        <v>44</v>
      </c>
    </row>
    <row r="62" spans="17:18" x14ac:dyDescent="0.15">
      <c r="Q62" s="9">
        <v>1126</v>
      </c>
      <c r="R62" s="9" t="s">
        <v>44</v>
      </c>
    </row>
    <row r="63" spans="17:18" x14ac:dyDescent="0.15">
      <c r="Q63" s="9">
        <v>1127</v>
      </c>
      <c r="R63" s="9" t="s">
        <v>44</v>
      </c>
    </row>
    <row r="64" spans="17:18" x14ac:dyDescent="0.15">
      <c r="Q64" s="9">
        <v>1128</v>
      </c>
      <c r="R64" s="9" t="s">
        <v>44</v>
      </c>
    </row>
    <row r="65" spans="17:18" x14ac:dyDescent="0.15">
      <c r="Q65" s="9">
        <v>1129</v>
      </c>
      <c r="R65" s="9" t="s">
        <v>44</v>
      </c>
    </row>
    <row r="66" spans="17:18" x14ac:dyDescent="0.15">
      <c r="Q66" s="9">
        <v>1130</v>
      </c>
      <c r="R66" s="9" t="s">
        <v>44</v>
      </c>
    </row>
    <row r="67" spans="17:18" x14ac:dyDescent="0.15">
      <c r="Q67" s="9">
        <v>1131</v>
      </c>
      <c r="R67" s="9" t="s">
        <v>44</v>
      </c>
    </row>
    <row r="68" spans="17:18" x14ac:dyDescent="0.15">
      <c r="Q68" s="9">
        <v>1140</v>
      </c>
      <c r="R68" s="9" t="s">
        <v>44</v>
      </c>
    </row>
    <row r="69" spans="17:18" x14ac:dyDescent="0.15">
      <c r="Q69" s="9">
        <v>1147</v>
      </c>
      <c r="R69" s="9" t="s">
        <v>44</v>
      </c>
    </row>
    <row r="70" spans="17:18" x14ac:dyDescent="0.15">
      <c r="Q70" s="9">
        <v>1148</v>
      </c>
      <c r="R70" s="9" t="s">
        <v>44</v>
      </c>
    </row>
    <row r="71" spans="17:18" x14ac:dyDescent="0.15">
      <c r="Q71" s="9">
        <v>1150</v>
      </c>
      <c r="R71" s="9" t="s">
        <v>44</v>
      </c>
    </row>
    <row r="72" spans="17:18" x14ac:dyDescent="0.15">
      <c r="Q72" s="9">
        <v>1151</v>
      </c>
      <c r="R72" s="9" t="s">
        <v>44</v>
      </c>
    </row>
    <row r="73" spans="17:18" x14ac:dyDescent="0.15">
      <c r="Q73" s="9">
        <v>1152</v>
      </c>
      <c r="R73" s="9" t="s">
        <v>44</v>
      </c>
    </row>
    <row r="74" spans="17:18" x14ac:dyDescent="0.15">
      <c r="Q74" s="9">
        <v>1153</v>
      </c>
      <c r="R74" s="9" t="s">
        <v>44</v>
      </c>
    </row>
    <row r="75" spans="17:18" x14ac:dyDescent="0.15">
      <c r="Q75" s="9">
        <v>1154</v>
      </c>
      <c r="R75" s="9" t="s">
        <v>44</v>
      </c>
    </row>
    <row r="76" spans="17:18" x14ac:dyDescent="0.15">
      <c r="Q76" s="9">
        <v>1155</v>
      </c>
      <c r="R76" s="9" t="s">
        <v>44</v>
      </c>
    </row>
    <row r="77" spans="17:18" x14ac:dyDescent="0.15">
      <c r="Q77" s="9">
        <v>1156</v>
      </c>
      <c r="R77" s="9" t="s">
        <v>44</v>
      </c>
    </row>
    <row r="78" spans="17:18" x14ac:dyDescent="0.15">
      <c r="Q78" s="9">
        <v>1157</v>
      </c>
      <c r="R78" s="9" t="s">
        <v>44</v>
      </c>
    </row>
    <row r="79" spans="17:18" x14ac:dyDescent="0.15">
      <c r="Q79" s="9">
        <v>1158</v>
      </c>
      <c r="R79" s="9" t="s">
        <v>44</v>
      </c>
    </row>
    <row r="80" spans="17:18" x14ac:dyDescent="0.15">
      <c r="Q80" s="9">
        <v>1159</v>
      </c>
      <c r="R80" s="9" t="s">
        <v>44</v>
      </c>
    </row>
    <row r="81" spans="17:18" x14ac:dyDescent="0.15">
      <c r="Q81" s="9">
        <v>1160</v>
      </c>
      <c r="R81" s="9" t="s">
        <v>44</v>
      </c>
    </row>
    <row r="82" spans="17:18" x14ac:dyDescent="0.15">
      <c r="Q82" s="9">
        <v>1161</v>
      </c>
      <c r="R82" s="9" t="s">
        <v>44</v>
      </c>
    </row>
    <row r="83" spans="17:18" x14ac:dyDescent="0.15">
      <c r="Q83" s="9">
        <v>1162</v>
      </c>
      <c r="R83" s="9" t="s">
        <v>44</v>
      </c>
    </row>
    <row r="84" spans="17:18" x14ac:dyDescent="0.15">
      <c r="Q84" s="9">
        <v>1164</v>
      </c>
      <c r="R84" s="9" t="s">
        <v>44</v>
      </c>
    </row>
    <row r="85" spans="17:18" x14ac:dyDescent="0.15">
      <c r="Q85" s="9">
        <v>1165</v>
      </c>
      <c r="R85" s="9" t="s">
        <v>44</v>
      </c>
    </row>
    <row r="86" spans="17:18" x14ac:dyDescent="0.15">
      <c r="Q86" s="9">
        <v>1166</v>
      </c>
      <c r="R86" s="9" t="s">
        <v>44</v>
      </c>
    </row>
    <row r="87" spans="17:18" x14ac:dyDescent="0.15">
      <c r="Q87" s="9">
        <v>1167</v>
      </c>
      <c r="R87" s="9" t="s">
        <v>44</v>
      </c>
    </row>
    <row r="88" spans="17:18" x14ac:dyDescent="0.15">
      <c r="Q88" s="9">
        <v>1168</v>
      </c>
      <c r="R88" s="9" t="s">
        <v>44</v>
      </c>
    </row>
    <row r="89" spans="17:18" x14ac:dyDescent="0.15">
      <c r="Q89" s="9">
        <v>1169</v>
      </c>
      <c r="R89" s="9" t="s">
        <v>44</v>
      </c>
    </row>
    <row r="90" spans="17:18" x14ac:dyDescent="0.15">
      <c r="Q90" s="9">
        <v>1170</v>
      </c>
      <c r="R90" s="9" t="s">
        <v>44</v>
      </c>
    </row>
    <row r="91" spans="17:18" x14ac:dyDescent="0.15">
      <c r="Q91" s="9">
        <v>1171</v>
      </c>
      <c r="R91" s="9" t="s">
        <v>44</v>
      </c>
    </row>
    <row r="92" spans="17:18" x14ac:dyDescent="0.15">
      <c r="Q92" s="9">
        <v>1172</v>
      </c>
      <c r="R92" s="9" t="s">
        <v>44</v>
      </c>
    </row>
    <row r="93" spans="17:18" x14ac:dyDescent="0.15">
      <c r="Q93" s="9">
        <v>1173</v>
      </c>
      <c r="R93" s="9" t="s">
        <v>44</v>
      </c>
    </row>
    <row r="94" spans="17:18" x14ac:dyDescent="0.15">
      <c r="Q94" s="9">
        <v>1174</v>
      </c>
      <c r="R94" s="9" t="s">
        <v>44</v>
      </c>
    </row>
    <row r="95" spans="17:18" x14ac:dyDescent="0.15">
      <c r="Q95" s="9">
        <v>1175</v>
      </c>
      <c r="R95" s="9" t="s">
        <v>44</v>
      </c>
    </row>
    <row r="96" spans="17:18" x14ac:dyDescent="0.15">
      <c r="Q96" s="9">
        <v>1200</v>
      </c>
      <c r="R96" s="9" t="s">
        <v>44</v>
      </c>
    </row>
    <row r="97" spans="17:18" x14ac:dyDescent="0.15">
      <c r="Q97" s="9">
        <v>1201</v>
      </c>
      <c r="R97" s="9" t="s">
        <v>44</v>
      </c>
    </row>
    <row r="98" spans="17:18" x14ac:dyDescent="0.15">
      <c r="Q98" s="9">
        <v>1202</v>
      </c>
      <c r="R98" s="9" t="s">
        <v>44</v>
      </c>
    </row>
    <row r="99" spans="17:18" x14ac:dyDescent="0.15">
      <c r="Q99" s="9">
        <v>1203</v>
      </c>
      <c r="R99" s="9" t="s">
        <v>44</v>
      </c>
    </row>
    <row r="100" spans="17:18" x14ac:dyDescent="0.15">
      <c r="Q100" s="9">
        <v>1204</v>
      </c>
      <c r="R100" s="9" t="s">
        <v>44</v>
      </c>
    </row>
    <row r="101" spans="17:18" x14ac:dyDescent="0.15">
      <c r="Q101" s="9">
        <v>1205</v>
      </c>
      <c r="R101" s="9" t="s">
        <v>44</v>
      </c>
    </row>
    <row r="102" spans="17:18" x14ac:dyDescent="0.15">
      <c r="Q102" s="9">
        <v>1206</v>
      </c>
      <c r="R102" s="9" t="s">
        <v>44</v>
      </c>
    </row>
    <row r="103" spans="17:18" x14ac:dyDescent="0.15">
      <c r="Q103" s="9">
        <v>1207</v>
      </c>
      <c r="R103" s="9" t="s">
        <v>44</v>
      </c>
    </row>
    <row r="104" spans="17:18" x14ac:dyDescent="0.15">
      <c r="Q104" s="9">
        <v>1208</v>
      </c>
      <c r="R104" s="9" t="s">
        <v>44</v>
      </c>
    </row>
    <row r="105" spans="17:18" x14ac:dyDescent="0.15">
      <c r="Q105" s="9">
        <v>1209</v>
      </c>
      <c r="R105" s="9" t="s">
        <v>44</v>
      </c>
    </row>
    <row r="106" spans="17:18" x14ac:dyDescent="0.15">
      <c r="Q106" s="9">
        <v>1210</v>
      </c>
      <c r="R106" s="9" t="s">
        <v>44</v>
      </c>
    </row>
    <row r="107" spans="17:18" x14ac:dyDescent="0.15">
      <c r="Q107" s="9">
        <v>1211</v>
      </c>
      <c r="R107" s="9" t="s">
        <v>44</v>
      </c>
    </row>
    <row r="108" spans="17:18" x14ac:dyDescent="0.15">
      <c r="Q108" s="9">
        <v>1213</v>
      </c>
      <c r="R108" s="9" t="s">
        <v>44</v>
      </c>
    </row>
    <row r="109" spans="17:18" x14ac:dyDescent="0.15">
      <c r="Q109" s="9">
        <v>1214</v>
      </c>
      <c r="R109" s="9" t="s">
        <v>44</v>
      </c>
    </row>
    <row r="110" spans="17:18" x14ac:dyDescent="0.15">
      <c r="Q110" s="9">
        <v>1215</v>
      </c>
      <c r="R110" s="9" t="s">
        <v>44</v>
      </c>
    </row>
    <row r="111" spans="17:18" x14ac:dyDescent="0.15">
      <c r="Q111" s="9">
        <v>1216</v>
      </c>
      <c r="R111" s="9" t="s">
        <v>44</v>
      </c>
    </row>
    <row r="112" spans="17:18" x14ac:dyDescent="0.15">
      <c r="Q112" s="9">
        <v>1217</v>
      </c>
      <c r="R112" s="9" t="s">
        <v>44</v>
      </c>
    </row>
    <row r="113" spans="17:18" x14ac:dyDescent="0.15">
      <c r="Q113" s="9">
        <v>1218</v>
      </c>
      <c r="R113" s="9" t="s">
        <v>44</v>
      </c>
    </row>
    <row r="114" spans="17:18" x14ac:dyDescent="0.15">
      <c r="Q114" s="9">
        <v>1219</v>
      </c>
      <c r="R114" s="9" t="s">
        <v>44</v>
      </c>
    </row>
    <row r="115" spans="17:18" x14ac:dyDescent="0.15">
      <c r="Q115" s="9">
        <v>1220</v>
      </c>
      <c r="R115" s="9" t="s">
        <v>44</v>
      </c>
    </row>
    <row r="116" spans="17:18" x14ac:dyDescent="0.15">
      <c r="Q116" s="9">
        <v>1221</v>
      </c>
      <c r="R116" s="9" t="s">
        <v>44</v>
      </c>
    </row>
    <row r="117" spans="17:18" x14ac:dyDescent="0.15">
      <c r="Q117" s="9">
        <v>1240</v>
      </c>
      <c r="R117" s="9" t="s">
        <v>44</v>
      </c>
    </row>
    <row r="118" spans="17:18" x14ac:dyDescent="0.15">
      <c r="Q118" s="9">
        <v>1250</v>
      </c>
      <c r="R118" s="9" t="s">
        <v>44</v>
      </c>
    </row>
    <row r="119" spans="17:18" x14ac:dyDescent="0.15">
      <c r="Q119" s="9">
        <v>1251</v>
      </c>
      <c r="R119" s="9" t="s">
        <v>44</v>
      </c>
    </row>
    <row r="120" spans="17:18" x14ac:dyDescent="0.15">
      <c r="Q120" s="9">
        <v>1252</v>
      </c>
      <c r="R120" s="9" t="s">
        <v>44</v>
      </c>
    </row>
    <row r="121" spans="17:18" x14ac:dyDescent="0.15">
      <c r="Q121" s="9">
        <v>1253</v>
      </c>
      <c r="R121" s="9" t="s">
        <v>44</v>
      </c>
    </row>
    <row r="122" spans="17:18" x14ac:dyDescent="0.15">
      <c r="Q122" s="9">
        <v>1254</v>
      </c>
      <c r="R122" s="9" t="s">
        <v>44</v>
      </c>
    </row>
    <row r="123" spans="17:18" x14ac:dyDescent="0.15">
      <c r="Q123" s="9">
        <v>1255</v>
      </c>
      <c r="R123" s="9" t="s">
        <v>44</v>
      </c>
    </row>
    <row r="124" spans="17:18" x14ac:dyDescent="0.15">
      <c r="Q124" s="9">
        <v>1256</v>
      </c>
      <c r="R124" s="9" t="s">
        <v>44</v>
      </c>
    </row>
    <row r="125" spans="17:18" x14ac:dyDescent="0.15">
      <c r="Q125" s="9">
        <v>1257</v>
      </c>
      <c r="R125" s="9" t="s">
        <v>44</v>
      </c>
    </row>
    <row r="126" spans="17:18" x14ac:dyDescent="0.15">
      <c r="Q126" s="9">
        <v>1259</v>
      </c>
      <c r="R126" s="9" t="s">
        <v>44</v>
      </c>
    </row>
    <row r="127" spans="17:18" x14ac:dyDescent="0.15">
      <c r="Q127" s="9">
        <v>1260</v>
      </c>
      <c r="R127" s="9" t="s">
        <v>44</v>
      </c>
    </row>
    <row r="128" spans="17:18" x14ac:dyDescent="0.15">
      <c r="Q128" s="9">
        <v>1261</v>
      </c>
      <c r="R128" s="9" t="s">
        <v>44</v>
      </c>
    </row>
    <row r="129" spans="17:18" x14ac:dyDescent="0.15">
      <c r="Q129" s="9">
        <v>1263</v>
      </c>
      <c r="R129" s="9" t="s">
        <v>44</v>
      </c>
    </row>
    <row r="130" spans="17:18" x14ac:dyDescent="0.15">
      <c r="Q130" s="9">
        <v>1264</v>
      </c>
      <c r="R130" s="9" t="s">
        <v>44</v>
      </c>
    </row>
    <row r="131" spans="17:18" x14ac:dyDescent="0.15">
      <c r="Q131" s="9">
        <v>1265</v>
      </c>
      <c r="R131" s="9" t="s">
        <v>44</v>
      </c>
    </row>
    <row r="132" spans="17:18" x14ac:dyDescent="0.15">
      <c r="Q132" s="9">
        <v>1266</v>
      </c>
      <c r="R132" s="9" t="s">
        <v>44</v>
      </c>
    </row>
    <row r="133" spans="17:18" x14ac:dyDescent="0.15">
      <c r="Q133" s="9">
        <v>1267</v>
      </c>
      <c r="R133" s="9" t="s">
        <v>44</v>
      </c>
    </row>
    <row r="134" spans="17:18" x14ac:dyDescent="0.15">
      <c r="Q134" s="9">
        <v>1268</v>
      </c>
      <c r="R134" s="9" t="s">
        <v>44</v>
      </c>
    </row>
    <row r="135" spans="17:18" x14ac:dyDescent="0.15">
      <c r="Q135" s="9">
        <v>1270</v>
      </c>
      <c r="R135" s="9" t="s">
        <v>44</v>
      </c>
    </row>
    <row r="136" spans="17:18" x14ac:dyDescent="0.15">
      <c r="Q136" s="9">
        <v>1271</v>
      </c>
      <c r="R136" s="9" t="s">
        <v>44</v>
      </c>
    </row>
    <row r="137" spans="17:18" x14ac:dyDescent="0.15">
      <c r="Q137" s="9">
        <v>1300</v>
      </c>
      <c r="R137" s="9" t="s">
        <v>44</v>
      </c>
    </row>
    <row r="138" spans="17:18" x14ac:dyDescent="0.15">
      <c r="Q138" s="9">
        <v>1301</v>
      </c>
      <c r="R138" s="9" t="s">
        <v>44</v>
      </c>
    </row>
    <row r="139" spans="17:18" x14ac:dyDescent="0.15">
      <c r="Q139" s="9">
        <v>1302</v>
      </c>
      <c r="R139" s="9" t="s">
        <v>44</v>
      </c>
    </row>
    <row r="140" spans="17:18" x14ac:dyDescent="0.15">
      <c r="Q140" s="9">
        <v>1303</v>
      </c>
      <c r="R140" s="9" t="s">
        <v>44</v>
      </c>
    </row>
    <row r="141" spans="17:18" x14ac:dyDescent="0.15">
      <c r="Q141" s="9">
        <v>1304</v>
      </c>
      <c r="R141" s="9" t="s">
        <v>44</v>
      </c>
    </row>
    <row r="142" spans="17:18" x14ac:dyDescent="0.15">
      <c r="Q142" s="9">
        <v>1306</v>
      </c>
      <c r="R142" s="9" t="s">
        <v>44</v>
      </c>
    </row>
    <row r="143" spans="17:18" x14ac:dyDescent="0.15">
      <c r="Q143" s="9">
        <v>1307</v>
      </c>
      <c r="R143" s="9" t="s">
        <v>44</v>
      </c>
    </row>
    <row r="144" spans="17:18" x14ac:dyDescent="0.15">
      <c r="Q144" s="9">
        <v>1308</v>
      </c>
      <c r="R144" s="9" t="s">
        <v>44</v>
      </c>
    </row>
    <row r="145" spans="17:18" x14ac:dyDescent="0.15">
      <c r="Q145" s="9">
        <v>1309</v>
      </c>
      <c r="R145" s="9" t="s">
        <v>44</v>
      </c>
    </row>
    <row r="146" spans="17:18" x14ac:dyDescent="0.15">
      <c r="Q146" s="9">
        <v>1310</v>
      </c>
      <c r="R146" s="9" t="s">
        <v>44</v>
      </c>
    </row>
    <row r="147" spans="17:18" x14ac:dyDescent="0.15">
      <c r="Q147" s="9">
        <v>1311</v>
      </c>
      <c r="R147" s="9" t="s">
        <v>44</v>
      </c>
    </row>
    <row r="148" spans="17:18" x14ac:dyDescent="0.15">
      <c r="Q148" s="9">
        <v>1312</v>
      </c>
      <c r="R148" s="9" t="s">
        <v>44</v>
      </c>
    </row>
    <row r="149" spans="17:18" x14ac:dyDescent="0.15">
      <c r="Q149" s="9">
        <v>1313</v>
      </c>
      <c r="R149" s="9" t="s">
        <v>44</v>
      </c>
    </row>
    <row r="150" spans="17:18" x14ac:dyDescent="0.15">
      <c r="Q150" s="9">
        <v>1314</v>
      </c>
      <c r="R150" s="9" t="s">
        <v>44</v>
      </c>
    </row>
    <row r="151" spans="17:18" x14ac:dyDescent="0.15">
      <c r="Q151" s="9">
        <v>1315</v>
      </c>
      <c r="R151" s="9" t="s">
        <v>44</v>
      </c>
    </row>
    <row r="152" spans="17:18" x14ac:dyDescent="0.15">
      <c r="Q152" s="9">
        <v>1316</v>
      </c>
      <c r="R152" s="9" t="s">
        <v>44</v>
      </c>
    </row>
    <row r="153" spans="17:18" x14ac:dyDescent="0.15">
      <c r="Q153" s="9">
        <v>1317</v>
      </c>
      <c r="R153" s="9" t="s">
        <v>44</v>
      </c>
    </row>
    <row r="154" spans="17:18" x14ac:dyDescent="0.15">
      <c r="Q154" s="9">
        <v>1318</v>
      </c>
      <c r="R154" s="9" t="s">
        <v>44</v>
      </c>
    </row>
    <row r="155" spans="17:18" x14ac:dyDescent="0.15">
      <c r="Q155" s="9">
        <v>1319</v>
      </c>
      <c r="R155" s="9" t="s">
        <v>44</v>
      </c>
    </row>
    <row r="156" spans="17:18" x14ac:dyDescent="0.15">
      <c r="Q156" s="9">
        <v>1320</v>
      </c>
      <c r="R156" s="9" t="s">
        <v>44</v>
      </c>
    </row>
    <row r="157" spans="17:18" x14ac:dyDescent="0.15">
      <c r="Q157" s="9">
        <v>1321</v>
      </c>
      <c r="R157" s="9" t="s">
        <v>44</v>
      </c>
    </row>
    <row r="158" spans="17:18" x14ac:dyDescent="0.15">
      <c r="Q158" s="9">
        <v>1322</v>
      </c>
      <c r="R158" s="9" t="s">
        <v>44</v>
      </c>
    </row>
    <row r="159" spans="17:18" x14ac:dyDescent="0.15">
      <c r="Q159" s="9">
        <v>1323</v>
      </c>
      <c r="R159" s="9" t="s">
        <v>44</v>
      </c>
    </row>
    <row r="160" spans="17:18" x14ac:dyDescent="0.15">
      <c r="Q160" s="9">
        <v>1324</v>
      </c>
      <c r="R160" s="9" t="s">
        <v>44</v>
      </c>
    </row>
    <row r="161" spans="17:18" x14ac:dyDescent="0.15">
      <c r="Q161" s="9">
        <v>1325</v>
      </c>
      <c r="R161" s="9" t="s">
        <v>44</v>
      </c>
    </row>
    <row r="162" spans="17:18" x14ac:dyDescent="0.15">
      <c r="Q162" s="9">
        <v>1326</v>
      </c>
      <c r="R162" s="9" t="s">
        <v>44</v>
      </c>
    </row>
    <row r="163" spans="17:18" x14ac:dyDescent="0.15">
      <c r="Q163" s="9">
        <v>1327</v>
      </c>
      <c r="R163" s="9" t="s">
        <v>44</v>
      </c>
    </row>
    <row r="164" spans="17:18" x14ac:dyDescent="0.15">
      <c r="Q164" s="9">
        <v>1328</v>
      </c>
      <c r="R164" s="9" t="s">
        <v>44</v>
      </c>
    </row>
    <row r="165" spans="17:18" x14ac:dyDescent="0.15">
      <c r="Q165" s="9">
        <v>1329</v>
      </c>
      <c r="R165" s="9" t="s">
        <v>44</v>
      </c>
    </row>
    <row r="166" spans="17:18" x14ac:dyDescent="0.15">
      <c r="Q166" s="9">
        <v>1350</v>
      </c>
      <c r="R166" s="9" t="s">
        <v>44</v>
      </c>
    </row>
    <row r="167" spans="17:18" x14ac:dyDescent="0.15">
      <c r="Q167" s="9">
        <v>1352</v>
      </c>
      <c r="R167" s="9" t="s">
        <v>44</v>
      </c>
    </row>
    <row r="168" spans="17:18" x14ac:dyDescent="0.15">
      <c r="Q168" s="9">
        <v>1353</v>
      </c>
      <c r="R168" s="9" t="s">
        <v>44</v>
      </c>
    </row>
    <row r="169" spans="17:18" x14ac:dyDescent="0.15">
      <c r="Q169" s="9">
        <v>1354</v>
      </c>
      <c r="R169" s="9" t="s">
        <v>44</v>
      </c>
    </row>
    <row r="170" spans="17:18" x14ac:dyDescent="0.15">
      <c r="Q170" s="9">
        <v>1355</v>
      </c>
      <c r="R170" s="9" t="s">
        <v>44</v>
      </c>
    </row>
    <row r="171" spans="17:18" x14ac:dyDescent="0.15">
      <c r="Q171" s="9">
        <v>1356</v>
      </c>
      <c r="R171" s="9" t="s">
        <v>44</v>
      </c>
    </row>
    <row r="172" spans="17:18" x14ac:dyDescent="0.15">
      <c r="Q172" s="9">
        <v>1357</v>
      </c>
      <c r="R172" s="9" t="s">
        <v>44</v>
      </c>
    </row>
    <row r="173" spans="17:18" x14ac:dyDescent="0.15">
      <c r="Q173" s="9">
        <v>1358</v>
      </c>
      <c r="R173" s="9" t="s">
        <v>44</v>
      </c>
    </row>
    <row r="174" spans="17:18" x14ac:dyDescent="0.15">
      <c r="Q174" s="9">
        <v>1359</v>
      </c>
      <c r="R174" s="9" t="s">
        <v>44</v>
      </c>
    </row>
    <row r="175" spans="17:18" x14ac:dyDescent="0.15">
      <c r="Q175" s="9">
        <v>1360</v>
      </c>
      <c r="R175" s="9" t="s">
        <v>44</v>
      </c>
    </row>
    <row r="176" spans="17:18" x14ac:dyDescent="0.15">
      <c r="Q176" s="9">
        <v>1361</v>
      </c>
      <c r="R176" s="9" t="s">
        <v>44</v>
      </c>
    </row>
    <row r="177" spans="17:18" x14ac:dyDescent="0.15">
      <c r="Q177" s="9">
        <v>1362</v>
      </c>
      <c r="R177" s="9" t="s">
        <v>44</v>
      </c>
    </row>
    <row r="178" spans="17:18" x14ac:dyDescent="0.15">
      <c r="Q178" s="9">
        <v>1363</v>
      </c>
      <c r="R178" s="9" t="s">
        <v>44</v>
      </c>
    </row>
    <row r="179" spans="17:18" x14ac:dyDescent="0.15">
      <c r="Q179" s="9">
        <v>1364</v>
      </c>
      <c r="R179" s="9" t="s">
        <v>44</v>
      </c>
    </row>
    <row r="180" spans="17:18" x14ac:dyDescent="0.15">
      <c r="Q180" s="9">
        <v>1365</v>
      </c>
      <c r="R180" s="9" t="s">
        <v>44</v>
      </c>
    </row>
    <row r="181" spans="17:18" x14ac:dyDescent="0.15">
      <c r="Q181" s="9">
        <v>1366</v>
      </c>
      <c r="R181" s="9" t="s">
        <v>44</v>
      </c>
    </row>
    <row r="182" spans="17:18" x14ac:dyDescent="0.15">
      <c r="Q182" s="9">
        <v>1367</v>
      </c>
      <c r="R182" s="9" t="s">
        <v>44</v>
      </c>
    </row>
    <row r="183" spans="17:18" x14ac:dyDescent="0.15">
      <c r="Q183" s="9">
        <v>1368</v>
      </c>
      <c r="R183" s="9" t="s">
        <v>44</v>
      </c>
    </row>
    <row r="184" spans="17:18" x14ac:dyDescent="0.15">
      <c r="Q184" s="9">
        <v>1369</v>
      </c>
      <c r="R184" s="9" t="s">
        <v>44</v>
      </c>
    </row>
    <row r="185" spans="17:18" x14ac:dyDescent="0.15">
      <c r="Q185" s="9">
        <v>1370</v>
      </c>
      <c r="R185" s="9" t="s">
        <v>44</v>
      </c>
    </row>
    <row r="186" spans="17:18" x14ac:dyDescent="0.15">
      <c r="Q186" s="9">
        <v>1371</v>
      </c>
      <c r="R186" s="9" t="s">
        <v>44</v>
      </c>
    </row>
    <row r="187" spans="17:18" x14ac:dyDescent="0.15">
      <c r="Q187" s="9">
        <v>1400</v>
      </c>
      <c r="R187" s="9" t="s">
        <v>44</v>
      </c>
    </row>
    <row r="188" spans="17:18" x14ac:dyDescent="0.15">
      <c r="Q188" s="9">
        <v>1401</v>
      </c>
      <c r="R188" s="9" t="s">
        <v>44</v>
      </c>
    </row>
    <row r="189" spans="17:18" x14ac:dyDescent="0.15">
      <c r="Q189" s="9">
        <v>1402</v>
      </c>
      <c r="R189" s="9" t="s">
        <v>44</v>
      </c>
    </row>
    <row r="190" spans="17:18" x14ac:dyDescent="0.15">
      <c r="Q190" s="9">
        <v>1403</v>
      </c>
      <c r="R190" s="9" t="s">
        <v>44</v>
      </c>
    </row>
    <row r="191" spans="17:18" x14ac:dyDescent="0.15">
      <c r="Q191" s="9">
        <v>1406</v>
      </c>
      <c r="R191" s="9" t="s">
        <v>44</v>
      </c>
    </row>
    <row r="192" spans="17:18" x14ac:dyDescent="0.15">
      <c r="Q192" s="9">
        <v>1407</v>
      </c>
      <c r="R192" s="9" t="s">
        <v>44</v>
      </c>
    </row>
    <row r="193" spans="17:18" x14ac:dyDescent="0.15">
      <c r="Q193" s="9">
        <v>1408</v>
      </c>
      <c r="R193" s="9" t="s">
        <v>44</v>
      </c>
    </row>
    <row r="194" spans="17:18" x14ac:dyDescent="0.15">
      <c r="Q194" s="9">
        <v>1409</v>
      </c>
      <c r="R194" s="9" t="s">
        <v>44</v>
      </c>
    </row>
    <row r="195" spans="17:18" x14ac:dyDescent="0.15">
      <c r="Q195" s="9">
        <v>1410</v>
      </c>
      <c r="R195" s="9" t="s">
        <v>44</v>
      </c>
    </row>
    <row r="196" spans="17:18" x14ac:dyDescent="0.15">
      <c r="Q196" s="9">
        <v>1411</v>
      </c>
      <c r="R196" s="9" t="s">
        <v>44</v>
      </c>
    </row>
    <row r="197" spans="17:18" x14ac:dyDescent="0.15">
      <c r="Q197" s="9">
        <v>1412</v>
      </c>
      <c r="R197" s="9" t="s">
        <v>44</v>
      </c>
    </row>
    <row r="198" spans="17:18" x14ac:dyDescent="0.15">
      <c r="Q198" s="9">
        <v>1413</v>
      </c>
      <c r="R198" s="9" t="s">
        <v>44</v>
      </c>
    </row>
    <row r="199" spans="17:18" x14ac:dyDescent="0.15">
      <c r="Q199" s="9">
        <v>1414</v>
      </c>
      <c r="R199" s="9" t="s">
        <v>44</v>
      </c>
    </row>
    <row r="200" spans="17:18" x14ac:dyDescent="0.15">
      <c r="Q200" s="9">
        <v>1415</v>
      </c>
      <c r="R200" s="9" t="s">
        <v>44</v>
      </c>
    </row>
    <row r="201" spans="17:18" x14ac:dyDescent="0.15">
      <c r="Q201" s="9">
        <v>1416</v>
      </c>
      <c r="R201" s="9" t="s">
        <v>44</v>
      </c>
    </row>
    <row r="202" spans="17:18" x14ac:dyDescent="0.15">
      <c r="Q202" s="9">
        <v>1417</v>
      </c>
      <c r="R202" s="9" t="s">
        <v>44</v>
      </c>
    </row>
    <row r="203" spans="17:18" x14ac:dyDescent="0.15">
      <c r="Q203" s="9">
        <v>1418</v>
      </c>
      <c r="R203" s="9" t="s">
        <v>44</v>
      </c>
    </row>
    <row r="204" spans="17:18" x14ac:dyDescent="0.15">
      <c r="Q204" s="9">
        <v>1419</v>
      </c>
      <c r="R204" s="9" t="s">
        <v>44</v>
      </c>
    </row>
    <row r="205" spans="17:18" x14ac:dyDescent="0.15">
      <c r="Q205" s="9">
        <v>1420</v>
      </c>
      <c r="R205" s="9" t="s">
        <v>44</v>
      </c>
    </row>
    <row r="206" spans="17:18" x14ac:dyDescent="0.15">
      <c r="Q206" s="9">
        <v>1421</v>
      </c>
      <c r="R206" s="9" t="s">
        <v>44</v>
      </c>
    </row>
    <row r="207" spans="17:18" x14ac:dyDescent="0.15">
      <c r="Q207" s="9">
        <v>1422</v>
      </c>
      <c r="R207" s="9" t="s">
        <v>44</v>
      </c>
    </row>
    <row r="208" spans="17:18" x14ac:dyDescent="0.15">
      <c r="Q208" s="9">
        <v>1423</v>
      </c>
      <c r="R208" s="9" t="s">
        <v>44</v>
      </c>
    </row>
    <row r="209" spans="17:18" x14ac:dyDescent="0.15">
      <c r="Q209" s="9">
        <v>1424</v>
      </c>
      <c r="R209" s="9" t="s">
        <v>44</v>
      </c>
    </row>
    <row r="210" spans="17:18" x14ac:dyDescent="0.15">
      <c r="Q210" s="9">
        <v>1425</v>
      </c>
      <c r="R210" s="9" t="s">
        <v>44</v>
      </c>
    </row>
    <row r="211" spans="17:18" x14ac:dyDescent="0.15">
      <c r="Q211" s="9">
        <v>1426</v>
      </c>
      <c r="R211" s="9" t="s">
        <v>44</v>
      </c>
    </row>
    <row r="212" spans="17:18" x14ac:dyDescent="0.15">
      <c r="Q212" s="9">
        <v>1427</v>
      </c>
      <c r="R212" s="9" t="s">
        <v>44</v>
      </c>
    </row>
    <row r="213" spans="17:18" x14ac:dyDescent="0.15">
      <c r="Q213" s="9">
        <v>1428</v>
      </c>
      <c r="R213" s="9" t="s">
        <v>44</v>
      </c>
    </row>
    <row r="214" spans="17:18" x14ac:dyDescent="0.15">
      <c r="Q214" s="9">
        <v>1429</v>
      </c>
      <c r="R214" s="9" t="s">
        <v>44</v>
      </c>
    </row>
    <row r="215" spans="17:18" x14ac:dyDescent="0.15">
      <c r="Q215" s="9">
        <v>1430</v>
      </c>
      <c r="R215" s="9" t="s">
        <v>44</v>
      </c>
    </row>
    <row r="216" spans="17:18" x14ac:dyDescent="0.15">
      <c r="Q216" s="9">
        <v>1432</v>
      </c>
      <c r="R216" s="9" t="s">
        <v>44</v>
      </c>
    </row>
    <row r="217" spans="17:18" x14ac:dyDescent="0.15">
      <c r="Q217" s="9">
        <v>1433</v>
      </c>
      <c r="R217" s="9" t="s">
        <v>44</v>
      </c>
    </row>
    <row r="218" spans="17:18" x14ac:dyDescent="0.15">
      <c r="Q218" s="9">
        <v>1434</v>
      </c>
      <c r="R218" s="9" t="s">
        <v>44</v>
      </c>
    </row>
    <row r="219" spans="17:18" x14ac:dyDescent="0.15">
      <c r="Q219" s="9">
        <v>1435</v>
      </c>
      <c r="R219" s="9" t="s">
        <v>44</v>
      </c>
    </row>
    <row r="220" spans="17:18" x14ac:dyDescent="0.15">
      <c r="Q220" s="9">
        <v>1436</v>
      </c>
      <c r="R220" s="9" t="s">
        <v>44</v>
      </c>
    </row>
    <row r="221" spans="17:18" x14ac:dyDescent="0.15">
      <c r="Q221" s="9">
        <v>1437</v>
      </c>
      <c r="R221" s="9" t="s">
        <v>44</v>
      </c>
    </row>
    <row r="222" spans="17:18" x14ac:dyDescent="0.15">
      <c r="Q222" s="9">
        <v>1438</v>
      </c>
      <c r="R222" s="9" t="s">
        <v>44</v>
      </c>
    </row>
    <row r="223" spans="17:18" x14ac:dyDescent="0.15">
      <c r="Q223" s="9">
        <v>1439</v>
      </c>
      <c r="R223" s="9" t="s">
        <v>44</v>
      </c>
    </row>
    <row r="224" spans="17:18" x14ac:dyDescent="0.15">
      <c r="Q224" s="9">
        <v>1440</v>
      </c>
      <c r="R224" s="9" t="s">
        <v>44</v>
      </c>
    </row>
    <row r="225" spans="17:18" x14ac:dyDescent="0.15">
      <c r="Q225" s="9">
        <v>1441</v>
      </c>
      <c r="R225" s="9" t="s">
        <v>44</v>
      </c>
    </row>
    <row r="226" spans="17:18" x14ac:dyDescent="0.15">
      <c r="Q226" s="9">
        <v>1448</v>
      </c>
      <c r="R226" s="9" t="s">
        <v>44</v>
      </c>
    </row>
    <row r="227" spans="17:18" x14ac:dyDescent="0.15">
      <c r="Q227" s="9">
        <v>1450</v>
      </c>
      <c r="R227" s="9" t="s">
        <v>44</v>
      </c>
    </row>
    <row r="228" spans="17:18" x14ac:dyDescent="0.15">
      <c r="Q228" s="9">
        <v>1451</v>
      </c>
      <c r="R228" s="9" t="s">
        <v>44</v>
      </c>
    </row>
    <row r="229" spans="17:18" x14ac:dyDescent="0.15">
      <c r="Q229" s="9">
        <v>1452</v>
      </c>
      <c r="R229" s="9" t="s">
        <v>44</v>
      </c>
    </row>
    <row r="230" spans="17:18" x14ac:dyDescent="0.15">
      <c r="Q230" s="9">
        <v>1453</v>
      </c>
      <c r="R230" s="9" t="s">
        <v>44</v>
      </c>
    </row>
    <row r="231" spans="17:18" x14ac:dyDescent="0.15">
      <c r="Q231" s="9">
        <v>1454</v>
      </c>
      <c r="R231" s="9" t="s">
        <v>44</v>
      </c>
    </row>
    <row r="232" spans="17:18" x14ac:dyDescent="0.15">
      <c r="Q232" s="9">
        <v>1455</v>
      </c>
      <c r="R232" s="9" t="s">
        <v>44</v>
      </c>
    </row>
    <row r="233" spans="17:18" x14ac:dyDescent="0.15">
      <c r="Q233" s="9">
        <v>1456</v>
      </c>
      <c r="R233" s="9" t="s">
        <v>44</v>
      </c>
    </row>
    <row r="234" spans="17:18" x14ac:dyDescent="0.15">
      <c r="Q234" s="9">
        <v>1457</v>
      </c>
      <c r="R234" s="9" t="s">
        <v>44</v>
      </c>
    </row>
    <row r="235" spans="17:18" x14ac:dyDescent="0.15">
      <c r="Q235" s="9">
        <v>1458</v>
      </c>
      <c r="R235" s="9" t="s">
        <v>44</v>
      </c>
    </row>
    <row r="236" spans="17:18" x14ac:dyDescent="0.15">
      <c r="Q236" s="9">
        <v>1459</v>
      </c>
      <c r="R236" s="9" t="s">
        <v>44</v>
      </c>
    </row>
    <row r="237" spans="17:18" x14ac:dyDescent="0.15">
      <c r="Q237" s="9">
        <v>1460</v>
      </c>
      <c r="R237" s="9" t="s">
        <v>44</v>
      </c>
    </row>
    <row r="238" spans="17:18" x14ac:dyDescent="0.15">
      <c r="Q238" s="9">
        <v>1462</v>
      </c>
      <c r="R238" s="9" t="s">
        <v>44</v>
      </c>
    </row>
    <row r="239" spans="17:18" x14ac:dyDescent="0.15">
      <c r="Q239" s="9">
        <v>1463</v>
      </c>
      <c r="R239" s="9" t="s">
        <v>44</v>
      </c>
    </row>
    <row r="240" spans="17:18" x14ac:dyDescent="0.15">
      <c r="Q240" s="9">
        <v>1464</v>
      </c>
      <c r="R240" s="9" t="s">
        <v>44</v>
      </c>
    </row>
    <row r="241" spans="17:18" x14ac:dyDescent="0.15">
      <c r="Q241" s="9">
        <v>1466</v>
      </c>
      <c r="R241" s="9" t="s">
        <v>44</v>
      </c>
    </row>
    <row r="242" spans="17:18" x14ac:dyDescent="0.15">
      <c r="Q242" s="9">
        <v>1467</v>
      </c>
      <c r="R242" s="9" t="s">
        <v>44</v>
      </c>
    </row>
    <row r="243" spans="17:18" x14ac:dyDescent="0.15">
      <c r="Q243" s="9">
        <v>1468</v>
      </c>
      <c r="R243" s="9" t="s">
        <v>44</v>
      </c>
    </row>
    <row r="244" spans="17:18" x14ac:dyDescent="0.15">
      <c r="Q244" s="9">
        <v>1470</v>
      </c>
      <c r="R244" s="9" t="s">
        <v>44</v>
      </c>
    </row>
    <row r="245" spans="17:18" x14ac:dyDescent="0.15">
      <c r="Q245" s="9">
        <v>1471</v>
      </c>
      <c r="R245" s="9" t="s">
        <v>44</v>
      </c>
    </row>
    <row r="246" spans="17:18" x14ac:dyDescent="0.15">
      <c r="Q246" s="9">
        <v>1472</v>
      </c>
      <c r="R246" s="9" t="s">
        <v>44</v>
      </c>
    </row>
    <row r="247" spans="17:18" x14ac:dyDescent="0.15">
      <c r="Q247" s="9">
        <v>1473</v>
      </c>
      <c r="R247" s="9" t="s">
        <v>44</v>
      </c>
    </row>
    <row r="248" spans="17:18" x14ac:dyDescent="0.15">
      <c r="Q248" s="9">
        <v>1500</v>
      </c>
      <c r="R248" s="9" t="s">
        <v>514</v>
      </c>
    </row>
    <row r="249" spans="17:18" x14ac:dyDescent="0.15">
      <c r="Q249" s="9">
        <v>1532</v>
      </c>
      <c r="R249" s="9" t="s">
        <v>514</v>
      </c>
    </row>
    <row r="250" spans="17:18" x14ac:dyDescent="0.15">
      <c r="Q250" s="9">
        <v>1533</v>
      </c>
      <c r="R250" s="9" t="s">
        <v>514</v>
      </c>
    </row>
    <row r="251" spans="17:18" x14ac:dyDescent="0.15">
      <c r="Q251" s="9">
        <v>1550</v>
      </c>
      <c r="R251" s="9" t="s">
        <v>514</v>
      </c>
    </row>
    <row r="252" spans="17:18" x14ac:dyDescent="0.15">
      <c r="Q252" s="9">
        <v>1551</v>
      </c>
      <c r="R252" s="9" t="s">
        <v>514</v>
      </c>
    </row>
    <row r="253" spans="17:18" x14ac:dyDescent="0.15">
      <c r="Q253" s="9">
        <v>1552</v>
      </c>
      <c r="R253" s="9" t="s">
        <v>514</v>
      </c>
    </row>
    <row r="254" spans="17:18" x14ac:dyDescent="0.15">
      <c r="Q254" s="9">
        <v>1553</v>
      </c>
      <c r="R254" s="9" t="s">
        <v>514</v>
      </c>
    </row>
    <row r="255" spans="17:18" x14ac:dyDescent="0.15">
      <c r="Q255" s="9">
        <v>1554</v>
      </c>
      <c r="R255" s="9" t="s">
        <v>514</v>
      </c>
    </row>
    <row r="256" spans="17:18" x14ac:dyDescent="0.15">
      <c r="Q256" s="9">
        <v>1555</v>
      </c>
      <c r="R256" s="9" t="s">
        <v>514</v>
      </c>
    </row>
    <row r="257" spans="17:18" x14ac:dyDescent="0.15">
      <c r="Q257" s="9">
        <v>1556</v>
      </c>
      <c r="R257" s="9" t="s">
        <v>514</v>
      </c>
    </row>
    <row r="258" spans="17:18" x14ac:dyDescent="0.15">
      <c r="Q258" s="9">
        <v>1557</v>
      </c>
      <c r="R258" s="9" t="s">
        <v>514</v>
      </c>
    </row>
    <row r="259" spans="17:18" x14ac:dyDescent="0.15">
      <c r="Q259" s="9">
        <v>1558</v>
      </c>
      <c r="R259" s="9" t="s">
        <v>514</v>
      </c>
    </row>
    <row r="260" spans="17:18" x14ac:dyDescent="0.15">
      <c r="Q260" s="9">
        <v>1559</v>
      </c>
      <c r="R260" s="9" t="s">
        <v>514</v>
      </c>
    </row>
    <row r="261" spans="17:18" x14ac:dyDescent="0.15">
      <c r="Q261" s="9">
        <v>1560</v>
      </c>
      <c r="R261" s="9" t="s">
        <v>514</v>
      </c>
    </row>
    <row r="262" spans="17:18" x14ac:dyDescent="0.15">
      <c r="Q262" s="9">
        <v>1561</v>
      </c>
      <c r="R262" s="9" t="s">
        <v>514</v>
      </c>
    </row>
    <row r="263" spans="17:18" x14ac:dyDescent="0.15">
      <c r="Q263" s="9">
        <v>1562</v>
      </c>
      <c r="R263" s="9" t="s">
        <v>514</v>
      </c>
    </row>
    <row r="264" spans="17:18" x14ac:dyDescent="0.15">
      <c r="Q264" s="9">
        <v>1563</v>
      </c>
      <c r="R264" s="9" t="s">
        <v>514</v>
      </c>
    </row>
    <row r="265" spans="17:18" x14ac:dyDescent="0.15">
      <c r="Q265" s="9">
        <v>1564</v>
      </c>
      <c r="R265" s="9" t="s">
        <v>514</v>
      </c>
    </row>
    <row r="266" spans="17:18" x14ac:dyDescent="0.15">
      <c r="Q266" s="9">
        <v>1566</v>
      </c>
      <c r="R266" s="9" t="s">
        <v>514</v>
      </c>
    </row>
    <row r="267" spans="17:18" x14ac:dyDescent="0.15">
      <c r="Q267" s="9">
        <v>1567</v>
      </c>
      <c r="R267" s="9" t="s">
        <v>514</v>
      </c>
    </row>
    <row r="268" spans="17:18" x14ac:dyDescent="0.15">
      <c r="Q268" s="9">
        <v>1568</v>
      </c>
      <c r="R268" s="9" t="s">
        <v>514</v>
      </c>
    </row>
    <row r="269" spans="17:18" x14ac:dyDescent="0.15">
      <c r="Q269" s="9">
        <v>1569</v>
      </c>
      <c r="R269" s="9" t="s">
        <v>514</v>
      </c>
    </row>
    <row r="270" spans="17:18" x14ac:dyDescent="0.15">
      <c r="Q270" s="9">
        <v>1570</v>
      </c>
      <c r="R270" s="9" t="s">
        <v>514</v>
      </c>
    </row>
    <row r="271" spans="17:18" x14ac:dyDescent="0.15">
      <c r="Q271" s="9">
        <v>1571</v>
      </c>
      <c r="R271" s="9" t="s">
        <v>514</v>
      </c>
    </row>
    <row r="272" spans="17:18" x14ac:dyDescent="0.15">
      <c r="Q272" s="9">
        <v>1572</v>
      </c>
      <c r="R272" s="9" t="s">
        <v>514</v>
      </c>
    </row>
    <row r="273" spans="17:18" x14ac:dyDescent="0.15">
      <c r="Q273" s="9">
        <v>1573</v>
      </c>
      <c r="R273" s="9" t="s">
        <v>514</v>
      </c>
    </row>
    <row r="274" spans="17:18" x14ac:dyDescent="0.15">
      <c r="Q274" s="9">
        <v>1574</v>
      </c>
      <c r="R274" s="9" t="s">
        <v>514</v>
      </c>
    </row>
    <row r="275" spans="17:18" x14ac:dyDescent="0.15">
      <c r="Q275" s="9">
        <v>1575</v>
      </c>
      <c r="R275" s="9" t="s">
        <v>514</v>
      </c>
    </row>
    <row r="276" spans="17:18" x14ac:dyDescent="0.15">
      <c r="Q276" s="9">
        <v>1576</v>
      </c>
      <c r="R276" s="9" t="s">
        <v>514</v>
      </c>
    </row>
    <row r="277" spans="17:18" x14ac:dyDescent="0.15">
      <c r="Q277" s="9">
        <v>1577</v>
      </c>
      <c r="R277" s="9" t="s">
        <v>514</v>
      </c>
    </row>
    <row r="278" spans="17:18" x14ac:dyDescent="0.15">
      <c r="Q278" s="9">
        <v>1592</v>
      </c>
      <c r="R278" s="9" t="s">
        <v>514</v>
      </c>
    </row>
    <row r="279" spans="17:18" x14ac:dyDescent="0.15">
      <c r="Q279" s="9">
        <v>1599</v>
      </c>
      <c r="R279" s="9" t="s">
        <v>514</v>
      </c>
    </row>
    <row r="280" spans="17:18" x14ac:dyDescent="0.15">
      <c r="Q280" s="9">
        <v>1600</v>
      </c>
      <c r="R280" s="9" t="s">
        <v>514</v>
      </c>
    </row>
    <row r="281" spans="17:18" x14ac:dyDescent="0.15">
      <c r="Q281" s="9">
        <v>1601</v>
      </c>
      <c r="R281" s="9" t="s">
        <v>514</v>
      </c>
    </row>
    <row r="282" spans="17:18" x14ac:dyDescent="0.15">
      <c r="Q282" s="9">
        <v>1602</v>
      </c>
      <c r="R282" s="9" t="s">
        <v>514</v>
      </c>
    </row>
    <row r="283" spans="17:18" x14ac:dyDescent="0.15">
      <c r="Q283" s="9">
        <v>1603</v>
      </c>
      <c r="R283" s="9" t="s">
        <v>514</v>
      </c>
    </row>
    <row r="284" spans="17:18" x14ac:dyDescent="0.15">
      <c r="Q284" s="9">
        <v>1604</v>
      </c>
      <c r="R284" s="9" t="s">
        <v>514</v>
      </c>
    </row>
    <row r="285" spans="17:18" x14ac:dyDescent="0.15">
      <c r="Q285" s="9">
        <v>1605</v>
      </c>
      <c r="R285" s="9" t="s">
        <v>514</v>
      </c>
    </row>
    <row r="286" spans="17:18" x14ac:dyDescent="0.15">
      <c r="Q286" s="9">
        <v>1606</v>
      </c>
      <c r="R286" s="9" t="s">
        <v>514</v>
      </c>
    </row>
    <row r="287" spans="17:18" x14ac:dyDescent="0.15">
      <c r="Q287" s="9">
        <v>1607</v>
      </c>
      <c r="R287" s="9" t="s">
        <v>514</v>
      </c>
    </row>
    <row r="288" spans="17:18" x14ac:dyDescent="0.15">
      <c r="Q288" s="9">
        <v>1608</v>
      </c>
      <c r="R288" s="9" t="s">
        <v>514</v>
      </c>
    </row>
    <row r="289" spans="17:18" x14ac:dyDescent="0.15">
      <c r="Q289" s="9">
        <v>1609</v>
      </c>
      <c r="R289" s="9" t="s">
        <v>514</v>
      </c>
    </row>
    <row r="290" spans="17:18" x14ac:dyDescent="0.15">
      <c r="Q290" s="9">
        <v>1610</v>
      </c>
      <c r="R290" s="9" t="s">
        <v>514</v>
      </c>
    </row>
    <row r="291" spans="17:18" x14ac:dyDescent="0.15">
      <c r="Q291" s="9">
        <v>1611</v>
      </c>
      <c r="R291" s="9" t="s">
        <v>514</v>
      </c>
    </row>
    <row r="292" spans="17:18" x14ac:dyDescent="0.15">
      <c r="Q292" s="9">
        <v>1612</v>
      </c>
      <c r="R292" s="9" t="s">
        <v>514</v>
      </c>
    </row>
    <row r="293" spans="17:18" x14ac:dyDescent="0.15">
      <c r="Q293" s="9">
        <v>1613</v>
      </c>
      <c r="R293" s="9" t="s">
        <v>514</v>
      </c>
    </row>
    <row r="294" spans="17:18" x14ac:dyDescent="0.15">
      <c r="Q294" s="9">
        <v>1614</v>
      </c>
      <c r="R294" s="9" t="s">
        <v>514</v>
      </c>
    </row>
    <row r="295" spans="17:18" x14ac:dyDescent="0.15">
      <c r="Q295" s="9">
        <v>1615</v>
      </c>
      <c r="R295" s="9" t="s">
        <v>514</v>
      </c>
    </row>
    <row r="296" spans="17:18" x14ac:dyDescent="0.15">
      <c r="Q296" s="9">
        <v>1616</v>
      </c>
      <c r="R296" s="9" t="s">
        <v>514</v>
      </c>
    </row>
    <row r="297" spans="17:18" x14ac:dyDescent="0.15">
      <c r="Q297" s="9">
        <v>1617</v>
      </c>
      <c r="R297" s="9" t="s">
        <v>514</v>
      </c>
    </row>
    <row r="298" spans="17:18" x14ac:dyDescent="0.15">
      <c r="Q298" s="9">
        <v>1618</v>
      </c>
      <c r="R298" s="9" t="s">
        <v>514</v>
      </c>
    </row>
    <row r="299" spans="17:18" x14ac:dyDescent="0.15">
      <c r="Q299" s="9">
        <v>1619</v>
      </c>
      <c r="R299" s="9" t="s">
        <v>514</v>
      </c>
    </row>
    <row r="300" spans="17:18" x14ac:dyDescent="0.15">
      <c r="Q300" s="9">
        <v>1620</v>
      </c>
      <c r="R300" s="9" t="s">
        <v>514</v>
      </c>
    </row>
    <row r="301" spans="17:18" x14ac:dyDescent="0.15">
      <c r="Q301" s="9">
        <v>1621</v>
      </c>
      <c r="R301" s="9" t="s">
        <v>514</v>
      </c>
    </row>
    <row r="302" spans="17:18" x14ac:dyDescent="0.15">
      <c r="Q302" s="9">
        <v>1622</v>
      </c>
      <c r="R302" s="9" t="s">
        <v>514</v>
      </c>
    </row>
    <row r="303" spans="17:18" x14ac:dyDescent="0.15">
      <c r="Q303" s="9">
        <v>1623</v>
      </c>
      <c r="R303" s="9" t="s">
        <v>514</v>
      </c>
    </row>
    <row r="304" spans="17:18" x14ac:dyDescent="0.15">
      <c r="Q304" s="9">
        <v>1624</v>
      </c>
      <c r="R304" s="9" t="s">
        <v>514</v>
      </c>
    </row>
    <row r="305" spans="17:18" x14ac:dyDescent="0.15">
      <c r="Q305" s="9">
        <v>1630</v>
      </c>
      <c r="R305" s="9" t="s">
        <v>514</v>
      </c>
    </row>
    <row r="306" spans="17:18" x14ac:dyDescent="0.15">
      <c r="Q306" s="9">
        <v>1631</v>
      </c>
      <c r="R306" s="9" t="s">
        <v>514</v>
      </c>
    </row>
    <row r="307" spans="17:18" x14ac:dyDescent="0.15">
      <c r="Q307" s="9">
        <v>1632</v>
      </c>
      <c r="R307" s="9" t="s">
        <v>514</v>
      </c>
    </row>
    <row r="308" spans="17:18" x14ac:dyDescent="0.15">
      <c r="Q308" s="9">
        <v>1633</v>
      </c>
      <c r="R308" s="9" t="s">
        <v>514</v>
      </c>
    </row>
    <row r="309" spans="17:18" x14ac:dyDescent="0.15">
      <c r="Q309" s="9">
        <v>1634</v>
      </c>
      <c r="R309" s="9" t="s">
        <v>514</v>
      </c>
    </row>
    <row r="310" spans="17:18" x14ac:dyDescent="0.15">
      <c r="Q310" s="9">
        <v>1635</v>
      </c>
      <c r="R310" s="9" t="s">
        <v>514</v>
      </c>
    </row>
    <row r="311" spans="17:18" x14ac:dyDescent="0.15">
      <c r="Q311" s="9">
        <v>1650</v>
      </c>
      <c r="R311" s="9" t="s">
        <v>514</v>
      </c>
    </row>
    <row r="312" spans="17:18" x14ac:dyDescent="0.15">
      <c r="Q312" s="9">
        <v>1651</v>
      </c>
      <c r="R312" s="9" t="s">
        <v>514</v>
      </c>
    </row>
    <row r="313" spans="17:18" x14ac:dyDescent="0.15">
      <c r="Q313" s="9">
        <v>1652</v>
      </c>
      <c r="R313" s="9" t="s">
        <v>514</v>
      </c>
    </row>
    <row r="314" spans="17:18" x14ac:dyDescent="0.15">
      <c r="Q314" s="9">
        <v>1653</v>
      </c>
      <c r="R314" s="9" t="s">
        <v>514</v>
      </c>
    </row>
    <row r="315" spans="17:18" x14ac:dyDescent="0.15">
      <c r="Q315" s="9">
        <v>1654</v>
      </c>
      <c r="R315" s="9" t="s">
        <v>514</v>
      </c>
    </row>
    <row r="316" spans="17:18" x14ac:dyDescent="0.15">
      <c r="Q316" s="9">
        <v>1655</v>
      </c>
      <c r="R316" s="9" t="s">
        <v>514</v>
      </c>
    </row>
    <row r="317" spans="17:18" x14ac:dyDescent="0.15">
      <c r="Q317" s="9">
        <v>1656</v>
      </c>
      <c r="R317" s="9" t="s">
        <v>514</v>
      </c>
    </row>
    <row r="318" spans="17:18" x14ac:dyDescent="0.15">
      <c r="Q318" s="9">
        <v>1657</v>
      </c>
      <c r="R318" s="9" t="s">
        <v>514</v>
      </c>
    </row>
    <row r="319" spans="17:18" x14ac:dyDescent="0.15">
      <c r="Q319" s="9">
        <v>1658</v>
      </c>
      <c r="R319" s="9" t="s">
        <v>514</v>
      </c>
    </row>
    <row r="320" spans="17:18" x14ac:dyDescent="0.15">
      <c r="Q320" s="9">
        <v>1659</v>
      </c>
      <c r="R320" s="9" t="s">
        <v>514</v>
      </c>
    </row>
    <row r="321" spans="17:18" x14ac:dyDescent="0.15">
      <c r="Q321" s="9">
        <v>1660</v>
      </c>
      <c r="R321" s="9" t="s">
        <v>514</v>
      </c>
    </row>
    <row r="322" spans="17:18" x14ac:dyDescent="0.15">
      <c r="Q322" s="9">
        <v>1661</v>
      </c>
      <c r="R322" s="9" t="s">
        <v>514</v>
      </c>
    </row>
    <row r="323" spans="17:18" x14ac:dyDescent="0.15">
      <c r="Q323" s="9">
        <v>1662</v>
      </c>
      <c r="R323" s="9" t="s">
        <v>514</v>
      </c>
    </row>
    <row r="324" spans="17:18" x14ac:dyDescent="0.15">
      <c r="Q324" s="9">
        <v>1663</v>
      </c>
      <c r="R324" s="9" t="s">
        <v>514</v>
      </c>
    </row>
    <row r="325" spans="17:18" x14ac:dyDescent="0.15">
      <c r="Q325" s="9">
        <v>1664</v>
      </c>
      <c r="R325" s="9" t="s">
        <v>514</v>
      </c>
    </row>
    <row r="326" spans="17:18" x14ac:dyDescent="0.15">
      <c r="Q326" s="9">
        <v>1665</v>
      </c>
      <c r="R326" s="9" t="s">
        <v>514</v>
      </c>
    </row>
    <row r="327" spans="17:18" x14ac:dyDescent="0.15">
      <c r="Q327" s="9">
        <v>1666</v>
      </c>
      <c r="R327" s="9" t="s">
        <v>514</v>
      </c>
    </row>
    <row r="328" spans="17:18" x14ac:dyDescent="0.15">
      <c r="Q328" s="9">
        <v>1667</v>
      </c>
      <c r="R328" s="9" t="s">
        <v>514</v>
      </c>
    </row>
    <row r="329" spans="17:18" x14ac:dyDescent="0.15">
      <c r="Q329" s="9">
        <v>1668</v>
      </c>
      <c r="R329" s="9" t="s">
        <v>514</v>
      </c>
    </row>
    <row r="330" spans="17:18" x14ac:dyDescent="0.15">
      <c r="Q330" s="9">
        <v>1669</v>
      </c>
      <c r="R330" s="9" t="s">
        <v>514</v>
      </c>
    </row>
    <row r="331" spans="17:18" x14ac:dyDescent="0.15">
      <c r="Q331" s="9">
        <v>1670</v>
      </c>
      <c r="R331" s="9" t="s">
        <v>514</v>
      </c>
    </row>
    <row r="332" spans="17:18" x14ac:dyDescent="0.15">
      <c r="Q332" s="9">
        <v>1671</v>
      </c>
      <c r="R332" s="9" t="s">
        <v>514</v>
      </c>
    </row>
    <row r="333" spans="17:18" x14ac:dyDescent="0.15">
      <c r="Q333" s="9">
        <v>1672</v>
      </c>
      <c r="R333" s="9" t="s">
        <v>514</v>
      </c>
    </row>
    <row r="334" spans="17:18" x14ac:dyDescent="0.15">
      <c r="Q334" s="9">
        <v>1673</v>
      </c>
      <c r="R334" s="9" t="s">
        <v>514</v>
      </c>
    </row>
    <row r="335" spans="17:18" x14ac:dyDescent="0.15">
      <c r="Q335" s="9">
        <v>1674</v>
      </c>
      <c r="R335" s="9" t="s">
        <v>514</v>
      </c>
    </row>
    <row r="336" spans="17:18" x14ac:dyDescent="0.15">
      <c r="Q336" s="9">
        <v>1675</v>
      </c>
      <c r="R336" s="9" t="s">
        <v>514</v>
      </c>
    </row>
    <row r="337" spans="17:18" x14ac:dyDescent="0.15">
      <c r="Q337" s="9">
        <v>1676</v>
      </c>
      <c r="R337" s="9" t="s">
        <v>514</v>
      </c>
    </row>
    <row r="338" spans="17:18" x14ac:dyDescent="0.15">
      <c r="Q338" s="9">
        <v>1677</v>
      </c>
      <c r="R338" s="9" t="s">
        <v>514</v>
      </c>
    </row>
    <row r="339" spans="17:18" x14ac:dyDescent="0.15">
      <c r="Q339" s="9">
        <v>1699</v>
      </c>
      <c r="R339" s="9" t="s">
        <v>514</v>
      </c>
    </row>
    <row r="340" spans="17:18" x14ac:dyDescent="0.15">
      <c r="Q340" s="9">
        <v>1700</v>
      </c>
      <c r="R340" s="9" t="s">
        <v>514</v>
      </c>
    </row>
    <row r="341" spans="17:18" x14ac:dyDescent="0.15">
      <c r="Q341" s="9">
        <v>1701</v>
      </c>
      <c r="R341" s="9" t="s">
        <v>514</v>
      </c>
    </row>
    <row r="342" spans="17:18" x14ac:dyDescent="0.15">
      <c r="Q342" s="9">
        <v>1702</v>
      </c>
      <c r="R342" s="9" t="s">
        <v>514</v>
      </c>
    </row>
    <row r="343" spans="17:18" x14ac:dyDescent="0.15">
      <c r="Q343" s="9">
        <v>1703</v>
      </c>
      <c r="R343" s="9" t="s">
        <v>514</v>
      </c>
    </row>
    <row r="344" spans="17:18" x14ac:dyDescent="0.15">
      <c r="Q344" s="9">
        <v>1704</v>
      </c>
      <c r="R344" s="9" t="s">
        <v>514</v>
      </c>
    </row>
    <row r="345" spans="17:18" x14ac:dyDescent="0.15">
      <c r="Q345" s="9">
        <v>1705</v>
      </c>
      <c r="R345" s="9" t="s">
        <v>514</v>
      </c>
    </row>
    <row r="346" spans="17:18" x14ac:dyDescent="0.15">
      <c r="Q346" s="9">
        <v>1706</v>
      </c>
      <c r="R346" s="9" t="s">
        <v>514</v>
      </c>
    </row>
    <row r="347" spans="17:18" x14ac:dyDescent="0.15">
      <c r="Q347" s="9">
        <v>1707</v>
      </c>
      <c r="R347" s="9" t="s">
        <v>514</v>
      </c>
    </row>
    <row r="348" spans="17:18" x14ac:dyDescent="0.15">
      <c r="Q348" s="9">
        <v>1708</v>
      </c>
      <c r="R348" s="9" t="s">
        <v>514</v>
      </c>
    </row>
    <row r="349" spans="17:18" x14ac:dyDescent="0.15">
      <c r="Q349" s="9">
        <v>1709</v>
      </c>
      <c r="R349" s="9" t="s">
        <v>514</v>
      </c>
    </row>
    <row r="350" spans="17:18" x14ac:dyDescent="0.15">
      <c r="Q350" s="9">
        <v>1710</v>
      </c>
      <c r="R350" s="9" t="s">
        <v>514</v>
      </c>
    </row>
    <row r="351" spans="17:18" x14ac:dyDescent="0.15">
      <c r="Q351" s="9">
        <v>1711</v>
      </c>
      <c r="R351" s="9" t="s">
        <v>514</v>
      </c>
    </row>
    <row r="352" spans="17:18" x14ac:dyDescent="0.15">
      <c r="Q352" s="9">
        <v>1712</v>
      </c>
      <c r="R352" s="9" t="s">
        <v>514</v>
      </c>
    </row>
    <row r="353" spans="17:18" x14ac:dyDescent="0.15">
      <c r="Q353" s="9">
        <v>1714</v>
      </c>
      <c r="R353" s="9" t="s">
        <v>514</v>
      </c>
    </row>
    <row r="354" spans="17:18" x14ac:dyDescent="0.15">
      <c r="Q354" s="9">
        <v>1715</v>
      </c>
      <c r="R354" s="9" t="s">
        <v>514</v>
      </c>
    </row>
    <row r="355" spans="17:18" x14ac:dyDescent="0.15">
      <c r="Q355" s="9">
        <v>1716</v>
      </c>
      <c r="R355" s="9" t="s">
        <v>514</v>
      </c>
    </row>
    <row r="356" spans="17:18" x14ac:dyDescent="0.15">
      <c r="Q356" s="9">
        <v>1717</v>
      </c>
      <c r="R356" s="9" t="s">
        <v>514</v>
      </c>
    </row>
    <row r="357" spans="17:18" x14ac:dyDescent="0.15">
      <c r="Q357" s="9">
        <v>1718</v>
      </c>
      <c r="R357" s="9" t="s">
        <v>514</v>
      </c>
    </row>
    <row r="358" spans="17:18" x14ac:dyDescent="0.15">
      <c r="Q358" s="9">
        <v>1719</v>
      </c>
      <c r="R358" s="9" t="s">
        <v>514</v>
      </c>
    </row>
    <row r="359" spans="17:18" x14ac:dyDescent="0.15">
      <c r="Q359" s="9">
        <v>1720</v>
      </c>
      <c r="R359" s="9" t="s">
        <v>514</v>
      </c>
    </row>
    <row r="360" spans="17:18" x14ac:dyDescent="0.15">
      <c r="Q360" s="9">
        <v>1721</v>
      </c>
      <c r="R360" s="9" t="s">
        <v>514</v>
      </c>
    </row>
    <row r="361" spans="17:18" x14ac:dyDescent="0.15">
      <c r="Q361" s="9">
        <v>1722</v>
      </c>
      <c r="R361" s="9" t="s">
        <v>514</v>
      </c>
    </row>
    <row r="362" spans="17:18" x14ac:dyDescent="0.15">
      <c r="Q362" s="9">
        <v>1723</v>
      </c>
      <c r="R362" s="9" t="s">
        <v>514</v>
      </c>
    </row>
    <row r="363" spans="17:18" x14ac:dyDescent="0.15">
      <c r="Q363" s="9">
        <v>1724</v>
      </c>
      <c r="R363" s="9" t="s">
        <v>514</v>
      </c>
    </row>
    <row r="364" spans="17:18" x14ac:dyDescent="0.15">
      <c r="Q364" s="9">
        <v>1725</v>
      </c>
      <c r="R364" s="9" t="s">
        <v>514</v>
      </c>
    </row>
    <row r="365" spans="17:18" x14ac:dyDescent="0.15">
      <c r="Q365" s="9">
        <v>1726</v>
      </c>
      <c r="R365" s="9" t="s">
        <v>514</v>
      </c>
    </row>
    <row r="366" spans="17:18" x14ac:dyDescent="0.15">
      <c r="Q366" s="9">
        <v>1727</v>
      </c>
      <c r="R366" s="9" t="s">
        <v>514</v>
      </c>
    </row>
    <row r="367" spans="17:18" x14ac:dyDescent="0.15">
      <c r="Q367" s="9">
        <v>1728</v>
      </c>
      <c r="R367" s="9" t="s">
        <v>514</v>
      </c>
    </row>
    <row r="368" spans="17:18" x14ac:dyDescent="0.15">
      <c r="Q368" s="9">
        <v>1729</v>
      </c>
      <c r="R368" s="9" t="s">
        <v>514</v>
      </c>
    </row>
    <row r="369" spans="17:18" x14ac:dyDescent="0.15">
      <c r="Q369" s="9">
        <v>1730</v>
      </c>
      <c r="R369" s="9" t="s">
        <v>514</v>
      </c>
    </row>
    <row r="370" spans="17:18" x14ac:dyDescent="0.15">
      <c r="Q370" s="9">
        <v>1731</v>
      </c>
      <c r="R370" s="9" t="s">
        <v>514</v>
      </c>
    </row>
    <row r="371" spans="17:18" x14ac:dyDescent="0.15">
      <c r="Q371" s="9">
        <v>1732</v>
      </c>
      <c r="R371" s="9" t="s">
        <v>514</v>
      </c>
    </row>
    <row r="372" spans="17:18" x14ac:dyDescent="0.15">
      <c r="Q372" s="9">
        <v>1733</v>
      </c>
      <c r="R372" s="9" t="s">
        <v>514</v>
      </c>
    </row>
    <row r="373" spans="17:18" x14ac:dyDescent="0.15">
      <c r="Q373" s="9">
        <v>1734</v>
      </c>
      <c r="R373" s="9" t="s">
        <v>514</v>
      </c>
    </row>
    <row r="374" spans="17:18" x14ac:dyDescent="0.15">
      <c r="Q374" s="9">
        <v>1735</v>
      </c>
      <c r="R374" s="9" t="s">
        <v>514</v>
      </c>
    </row>
    <row r="375" spans="17:18" x14ac:dyDescent="0.15">
      <c r="Q375" s="9">
        <v>1736</v>
      </c>
      <c r="R375" s="9" t="s">
        <v>514</v>
      </c>
    </row>
    <row r="376" spans="17:18" x14ac:dyDescent="0.15">
      <c r="Q376" s="9">
        <v>1737</v>
      </c>
      <c r="R376" s="9" t="s">
        <v>514</v>
      </c>
    </row>
    <row r="377" spans="17:18" x14ac:dyDescent="0.15">
      <c r="Q377" s="9">
        <v>1738</v>
      </c>
      <c r="R377" s="9" t="s">
        <v>514</v>
      </c>
    </row>
    <row r="378" spans="17:18" x14ac:dyDescent="0.15">
      <c r="Q378" s="9">
        <v>1739</v>
      </c>
      <c r="R378" s="9" t="s">
        <v>514</v>
      </c>
    </row>
    <row r="379" spans="17:18" x14ac:dyDescent="0.15">
      <c r="Q379" s="9">
        <v>1749</v>
      </c>
      <c r="R379" s="9" t="s">
        <v>514</v>
      </c>
    </row>
    <row r="380" spans="17:18" x14ac:dyDescent="0.15">
      <c r="Q380" s="9">
        <v>1750</v>
      </c>
      <c r="R380" s="9" t="s">
        <v>514</v>
      </c>
    </row>
    <row r="381" spans="17:18" x14ac:dyDescent="0.15">
      <c r="Q381" s="9">
        <v>1751</v>
      </c>
      <c r="R381" s="9" t="s">
        <v>514</v>
      </c>
    </row>
    <row r="382" spans="17:18" x14ac:dyDescent="0.15">
      <c r="Q382" s="9">
        <v>1752</v>
      </c>
      <c r="R382" s="9" t="s">
        <v>514</v>
      </c>
    </row>
    <row r="383" spans="17:18" x14ac:dyDescent="0.15">
      <c r="Q383" s="9">
        <v>1753</v>
      </c>
      <c r="R383" s="9" t="s">
        <v>514</v>
      </c>
    </row>
    <row r="384" spans="17:18" x14ac:dyDescent="0.15">
      <c r="Q384" s="9">
        <v>1754</v>
      </c>
      <c r="R384" s="9" t="s">
        <v>514</v>
      </c>
    </row>
    <row r="385" spans="17:18" x14ac:dyDescent="0.15">
      <c r="Q385" s="9">
        <v>1755</v>
      </c>
      <c r="R385" s="9" t="s">
        <v>514</v>
      </c>
    </row>
    <row r="386" spans="17:18" x14ac:dyDescent="0.15">
      <c r="Q386" s="9">
        <v>1756</v>
      </c>
      <c r="R386" s="9" t="s">
        <v>514</v>
      </c>
    </row>
    <row r="387" spans="17:18" x14ac:dyDescent="0.15">
      <c r="Q387" s="9">
        <v>1757</v>
      </c>
      <c r="R387" s="9" t="s">
        <v>514</v>
      </c>
    </row>
    <row r="388" spans="17:18" x14ac:dyDescent="0.15">
      <c r="Q388" s="9">
        <v>1758</v>
      </c>
      <c r="R388" s="9" t="s">
        <v>514</v>
      </c>
    </row>
    <row r="389" spans="17:18" x14ac:dyDescent="0.15">
      <c r="Q389" s="9">
        <v>1759</v>
      </c>
      <c r="R389" s="9" t="s">
        <v>514</v>
      </c>
    </row>
    <row r="390" spans="17:18" x14ac:dyDescent="0.15">
      <c r="Q390" s="9">
        <v>1760</v>
      </c>
      <c r="R390" s="9" t="s">
        <v>514</v>
      </c>
    </row>
    <row r="391" spans="17:18" x14ac:dyDescent="0.15">
      <c r="Q391" s="9">
        <v>1761</v>
      </c>
      <c r="R391" s="9" t="s">
        <v>514</v>
      </c>
    </row>
    <row r="392" spans="17:18" x14ac:dyDescent="0.15">
      <c r="Q392" s="9">
        <v>1762</v>
      </c>
      <c r="R392" s="9" t="s">
        <v>514</v>
      </c>
    </row>
    <row r="393" spans="17:18" x14ac:dyDescent="0.15">
      <c r="Q393" s="9">
        <v>1763</v>
      </c>
      <c r="R393" s="9" t="s">
        <v>514</v>
      </c>
    </row>
    <row r="394" spans="17:18" x14ac:dyDescent="0.15">
      <c r="Q394" s="9">
        <v>1764</v>
      </c>
      <c r="R394" s="9" t="s">
        <v>514</v>
      </c>
    </row>
    <row r="395" spans="17:18" x14ac:dyDescent="0.15">
      <c r="Q395" s="9">
        <v>1765</v>
      </c>
      <c r="R395" s="9" t="s">
        <v>514</v>
      </c>
    </row>
    <row r="396" spans="17:18" x14ac:dyDescent="0.15">
      <c r="Q396" s="9">
        <v>1766</v>
      </c>
      <c r="R396" s="9" t="s">
        <v>514</v>
      </c>
    </row>
    <row r="397" spans="17:18" x14ac:dyDescent="0.15">
      <c r="Q397" s="9">
        <v>1770</v>
      </c>
      <c r="R397" s="9" t="s">
        <v>514</v>
      </c>
    </row>
    <row r="398" spans="17:18" x14ac:dyDescent="0.15">
      <c r="Q398" s="9">
        <v>1771</v>
      </c>
      <c r="R398" s="9" t="s">
        <v>514</v>
      </c>
    </row>
    <row r="399" spans="17:18" x14ac:dyDescent="0.15">
      <c r="Q399" s="9">
        <v>1772</v>
      </c>
      <c r="R399" s="9" t="s">
        <v>514</v>
      </c>
    </row>
    <row r="400" spans="17:18" x14ac:dyDescent="0.15">
      <c r="Q400" s="9">
        <v>1773</v>
      </c>
      <c r="R400" s="9" t="s">
        <v>514</v>
      </c>
    </row>
    <row r="401" spans="17:18" x14ac:dyDescent="0.15">
      <c r="Q401" s="9">
        <v>1774</v>
      </c>
      <c r="R401" s="9" t="s">
        <v>514</v>
      </c>
    </row>
    <row r="402" spans="17:18" x14ac:dyDescent="0.15">
      <c r="Q402" s="9">
        <v>1775</v>
      </c>
      <c r="R402" s="9" t="s">
        <v>514</v>
      </c>
    </row>
    <row r="403" spans="17:18" x14ac:dyDescent="0.15">
      <c r="Q403" s="9">
        <v>1777</v>
      </c>
      <c r="R403" s="9" t="s">
        <v>514</v>
      </c>
    </row>
    <row r="404" spans="17:18" x14ac:dyDescent="0.15">
      <c r="Q404" s="9">
        <v>1780</v>
      </c>
      <c r="R404" s="9" t="s">
        <v>514</v>
      </c>
    </row>
    <row r="405" spans="17:18" x14ac:dyDescent="0.15">
      <c r="Q405" s="9">
        <v>1785</v>
      </c>
      <c r="R405" s="9" t="s">
        <v>514</v>
      </c>
    </row>
    <row r="406" spans="17:18" x14ac:dyDescent="0.15">
      <c r="Q406" s="9">
        <v>1786</v>
      </c>
      <c r="R406" s="9" t="s">
        <v>514</v>
      </c>
    </row>
    <row r="407" spans="17:18" x14ac:dyDescent="0.15">
      <c r="Q407" s="9">
        <v>1787</v>
      </c>
      <c r="R407" s="9" t="s">
        <v>514</v>
      </c>
    </row>
    <row r="408" spans="17:18" x14ac:dyDescent="0.15">
      <c r="Q408" s="9">
        <v>1790</v>
      </c>
      <c r="R408" s="9" t="s">
        <v>514</v>
      </c>
    </row>
    <row r="409" spans="17:18" x14ac:dyDescent="0.15">
      <c r="Q409" s="9">
        <v>1799</v>
      </c>
      <c r="R409" s="9" t="s">
        <v>514</v>
      </c>
    </row>
    <row r="410" spans="17:18" x14ac:dyDescent="0.15">
      <c r="Q410" s="9">
        <v>1800</v>
      </c>
      <c r="R410" s="9" t="s">
        <v>515</v>
      </c>
    </row>
    <row r="411" spans="17:18" x14ac:dyDescent="0.15">
      <c r="Q411" s="9">
        <v>1801</v>
      </c>
      <c r="R411" s="9" t="s">
        <v>515</v>
      </c>
    </row>
    <row r="412" spans="17:18" x14ac:dyDescent="0.15">
      <c r="Q412" s="9">
        <v>1802</v>
      </c>
      <c r="R412" s="9" t="s">
        <v>515</v>
      </c>
    </row>
    <row r="413" spans="17:18" x14ac:dyDescent="0.15">
      <c r="Q413" s="9">
        <v>1803</v>
      </c>
      <c r="R413" s="9" t="s">
        <v>515</v>
      </c>
    </row>
    <row r="414" spans="17:18" x14ac:dyDescent="0.15">
      <c r="Q414" s="9">
        <v>1804</v>
      </c>
      <c r="R414" s="9" t="s">
        <v>515</v>
      </c>
    </row>
    <row r="415" spans="17:18" x14ac:dyDescent="0.15">
      <c r="Q415" s="9">
        <v>1805</v>
      </c>
      <c r="R415" s="9" t="s">
        <v>515</v>
      </c>
    </row>
    <row r="416" spans="17:18" x14ac:dyDescent="0.15">
      <c r="Q416" s="9">
        <v>1806</v>
      </c>
      <c r="R416" s="9" t="s">
        <v>515</v>
      </c>
    </row>
    <row r="417" spans="17:18" x14ac:dyDescent="0.15">
      <c r="Q417" s="9">
        <v>1807</v>
      </c>
      <c r="R417" s="9" t="s">
        <v>515</v>
      </c>
    </row>
    <row r="418" spans="17:18" x14ac:dyDescent="0.15">
      <c r="Q418" s="9">
        <v>1808</v>
      </c>
      <c r="R418" s="9" t="s">
        <v>515</v>
      </c>
    </row>
    <row r="419" spans="17:18" x14ac:dyDescent="0.15">
      <c r="Q419" s="9">
        <v>1809</v>
      </c>
      <c r="R419" s="9" t="s">
        <v>515</v>
      </c>
    </row>
    <row r="420" spans="17:18" x14ac:dyDescent="0.15">
      <c r="Q420" s="9">
        <v>1810</v>
      </c>
      <c r="R420" s="9" t="s">
        <v>515</v>
      </c>
    </row>
    <row r="421" spans="17:18" x14ac:dyDescent="0.15">
      <c r="Q421" s="9">
        <v>1810</v>
      </c>
      <c r="R421" s="9" t="s">
        <v>515</v>
      </c>
    </row>
    <row r="422" spans="17:18" x14ac:dyDescent="0.15">
      <c r="Q422" s="9">
        <v>1811</v>
      </c>
      <c r="R422" s="9" t="s">
        <v>515</v>
      </c>
    </row>
    <row r="423" spans="17:18" x14ac:dyDescent="0.15">
      <c r="Q423" s="9">
        <v>1812</v>
      </c>
      <c r="R423" s="9" t="s">
        <v>515</v>
      </c>
    </row>
    <row r="424" spans="17:18" x14ac:dyDescent="0.15">
      <c r="Q424" s="9">
        <v>1813</v>
      </c>
      <c r="R424" s="9" t="s">
        <v>515</v>
      </c>
    </row>
    <row r="425" spans="17:18" x14ac:dyDescent="0.15">
      <c r="Q425" s="9">
        <v>1814</v>
      </c>
      <c r="R425" s="9" t="s">
        <v>515</v>
      </c>
    </row>
    <row r="426" spans="17:18" x14ac:dyDescent="0.15">
      <c r="Q426" s="9">
        <v>1815</v>
      </c>
      <c r="R426" s="9" t="s">
        <v>515</v>
      </c>
    </row>
    <row r="427" spans="17:18" x14ac:dyDescent="0.15">
      <c r="Q427" s="9">
        <v>1816</v>
      </c>
      <c r="R427" s="9" t="s">
        <v>515</v>
      </c>
    </row>
    <row r="428" spans="17:18" x14ac:dyDescent="0.15">
      <c r="Q428" s="9">
        <v>1817</v>
      </c>
      <c r="R428" s="9" t="s">
        <v>515</v>
      </c>
    </row>
    <row r="429" spans="17:18" x14ac:dyDescent="0.15">
      <c r="Q429" s="9">
        <v>1818</v>
      </c>
      <c r="R429" s="9" t="s">
        <v>515</v>
      </c>
    </row>
    <row r="430" spans="17:18" x14ac:dyDescent="0.15">
      <c r="Q430" s="9">
        <v>1819</v>
      </c>
      <c r="R430" s="9" t="s">
        <v>515</v>
      </c>
    </row>
    <row r="431" spans="17:18" x14ac:dyDescent="0.15">
      <c r="Q431" s="9">
        <v>1820</v>
      </c>
      <c r="R431" s="9" t="s">
        <v>515</v>
      </c>
    </row>
    <row r="432" spans="17:18" x14ac:dyDescent="0.15">
      <c r="Q432" s="9">
        <v>1822</v>
      </c>
      <c r="R432" s="9" t="s">
        <v>515</v>
      </c>
    </row>
    <row r="433" spans="17:18" x14ac:dyDescent="0.15">
      <c r="Q433" s="9">
        <v>1823</v>
      </c>
      <c r="R433" s="9" t="s">
        <v>515</v>
      </c>
    </row>
    <row r="434" spans="17:18" x14ac:dyDescent="0.15">
      <c r="Q434" s="9">
        <v>1824</v>
      </c>
      <c r="R434" s="9" t="s">
        <v>515</v>
      </c>
    </row>
    <row r="435" spans="17:18" x14ac:dyDescent="0.15">
      <c r="Q435" s="9">
        <v>1825</v>
      </c>
      <c r="R435" s="9" t="s">
        <v>515</v>
      </c>
    </row>
    <row r="436" spans="17:18" x14ac:dyDescent="0.15">
      <c r="Q436" s="9">
        <v>1826</v>
      </c>
      <c r="R436" s="9" t="s">
        <v>515</v>
      </c>
    </row>
    <row r="437" spans="17:18" x14ac:dyDescent="0.15">
      <c r="Q437" s="9">
        <v>1827</v>
      </c>
      <c r="R437" s="9" t="s">
        <v>515</v>
      </c>
    </row>
    <row r="438" spans="17:18" x14ac:dyDescent="0.15">
      <c r="Q438" s="9">
        <v>1828</v>
      </c>
      <c r="R438" s="9" t="s">
        <v>515</v>
      </c>
    </row>
    <row r="439" spans="17:18" x14ac:dyDescent="0.15">
      <c r="Q439" s="9">
        <v>1829</v>
      </c>
      <c r="R439" s="9" t="s">
        <v>515</v>
      </c>
    </row>
    <row r="440" spans="17:18" x14ac:dyDescent="0.15">
      <c r="Q440" s="9">
        <v>1850</v>
      </c>
      <c r="R440" s="9" t="s">
        <v>515</v>
      </c>
    </row>
    <row r="441" spans="17:18" x14ac:dyDescent="0.15">
      <c r="Q441" s="9">
        <v>1851</v>
      </c>
      <c r="R441" s="9" t="s">
        <v>515</v>
      </c>
    </row>
    <row r="442" spans="17:18" x14ac:dyDescent="0.15">
      <c r="Q442" s="9">
        <v>1852</v>
      </c>
      <c r="R442" s="9" t="s">
        <v>515</v>
      </c>
    </row>
    <row r="443" spans="17:18" x14ac:dyDescent="0.15">
      <c r="Q443" s="9">
        <v>1853</v>
      </c>
      <c r="R443" s="9" t="s">
        <v>515</v>
      </c>
    </row>
    <row r="444" spans="17:18" x14ac:dyDescent="0.15">
      <c r="Q444" s="9">
        <v>1854</v>
      </c>
      <c r="R444" s="9" t="s">
        <v>515</v>
      </c>
    </row>
    <row r="445" spans="17:18" x14ac:dyDescent="0.15">
      <c r="Q445" s="9">
        <v>1855</v>
      </c>
      <c r="R445" s="9" t="s">
        <v>515</v>
      </c>
    </row>
    <row r="446" spans="17:18" x14ac:dyDescent="0.15">
      <c r="Q446" s="9">
        <v>1856</v>
      </c>
      <c r="R446" s="9" t="s">
        <v>515</v>
      </c>
    </row>
    <row r="447" spans="17:18" x14ac:dyDescent="0.15">
      <c r="Q447" s="9">
        <v>1857</v>
      </c>
      <c r="R447" s="9" t="s">
        <v>515</v>
      </c>
    </row>
    <row r="448" spans="17:18" x14ac:dyDescent="0.15">
      <c r="Q448" s="9">
        <v>1860</v>
      </c>
      <c r="R448" s="9" t="s">
        <v>515</v>
      </c>
    </row>
    <row r="449" spans="17:18" x14ac:dyDescent="0.15">
      <c r="Q449" s="9">
        <v>1861</v>
      </c>
      <c r="R449" s="9" t="s">
        <v>515</v>
      </c>
    </row>
    <row r="450" spans="17:18" x14ac:dyDescent="0.15">
      <c r="Q450" s="9">
        <v>1862</v>
      </c>
      <c r="R450" s="9" t="s">
        <v>515</v>
      </c>
    </row>
    <row r="451" spans="17:18" x14ac:dyDescent="0.15">
      <c r="Q451" s="9">
        <v>1863</v>
      </c>
      <c r="R451" s="9" t="s">
        <v>515</v>
      </c>
    </row>
    <row r="452" spans="17:18" x14ac:dyDescent="0.15">
      <c r="Q452" s="9">
        <v>1864</v>
      </c>
      <c r="R452" s="9" t="s">
        <v>515</v>
      </c>
    </row>
    <row r="453" spans="17:18" x14ac:dyDescent="0.15">
      <c r="Q453" s="9">
        <v>1865</v>
      </c>
      <c r="R453" s="9" t="s">
        <v>515</v>
      </c>
    </row>
    <row r="454" spans="17:18" x14ac:dyDescent="0.15">
      <c r="Q454" s="9">
        <v>1866</v>
      </c>
      <c r="R454" s="9" t="s">
        <v>515</v>
      </c>
    </row>
    <row r="455" spans="17:18" x14ac:dyDescent="0.15">
      <c r="Q455" s="9">
        <v>1867</v>
      </c>
      <c r="R455" s="9" t="s">
        <v>515</v>
      </c>
    </row>
    <row r="456" spans="17:18" x14ac:dyDescent="0.15">
      <c r="Q456" s="9">
        <v>1868</v>
      </c>
      <c r="R456" s="9" t="s">
        <v>515</v>
      </c>
    </row>
    <row r="457" spans="17:18" x14ac:dyDescent="0.15">
      <c r="Q457" s="9">
        <v>1870</v>
      </c>
      <c r="R457" s="9" t="s">
        <v>515</v>
      </c>
    </row>
    <row r="458" spans="17:18" x14ac:dyDescent="0.15">
      <c r="Q458" s="9">
        <v>1871</v>
      </c>
      <c r="R458" s="9" t="s">
        <v>515</v>
      </c>
    </row>
    <row r="459" spans="17:18" x14ac:dyDescent="0.15">
      <c r="Q459" s="9">
        <v>1872</v>
      </c>
      <c r="R459" s="9" t="s">
        <v>515</v>
      </c>
    </row>
    <row r="460" spans="17:18" x14ac:dyDescent="0.15">
      <c r="Q460" s="9">
        <v>1873</v>
      </c>
      <c r="R460" s="9" t="s">
        <v>515</v>
      </c>
    </row>
    <row r="461" spans="17:18" x14ac:dyDescent="0.15">
      <c r="Q461" s="9">
        <v>1874</v>
      </c>
      <c r="R461" s="9" t="s">
        <v>515</v>
      </c>
    </row>
    <row r="462" spans="17:18" x14ac:dyDescent="0.15">
      <c r="Q462" s="9">
        <v>1875</v>
      </c>
      <c r="R462" s="9" t="s">
        <v>515</v>
      </c>
    </row>
    <row r="463" spans="17:18" x14ac:dyDescent="0.15">
      <c r="Q463" s="9">
        <v>1876</v>
      </c>
      <c r="R463" s="9" t="s">
        <v>515</v>
      </c>
    </row>
    <row r="464" spans="17:18" x14ac:dyDescent="0.15">
      <c r="Q464" s="9">
        <v>1877</v>
      </c>
      <c r="R464" s="9" t="s">
        <v>515</v>
      </c>
    </row>
    <row r="465" spans="17:18" x14ac:dyDescent="0.15">
      <c r="Q465" s="9">
        <v>1878</v>
      </c>
      <c r="R465" s="9" t="s">
        <v>515</v>
      </c>
    </row>
    <row r="466" spans="17:18" x14ac:dyDescent="0.15">
      <c r="Q466" s="9">
        <v>1879</v>
      </c>
      <c r="R466" s="9" t="s">
        <v>515</v>
      </c>
    </row>
    <row r="467" spans="17:18" x14ac:dyDescent="0.15">
      <c r="Q467" s="9">
        <v>1900</v>
      </c>
      <c r="R467" s="9" t="s">
        <v>515</v>
      </c>
    </row>
    <row r="468" spans="17:18" x14ac:dyDescent="0.15">
      <c r="Q468" s="9">
        <v>1901</v>
      </c>
      <c r="R468" s="9" t="s">
        <v>515</v>
      </c>
    </row>
    <row r="469" spans="17:18" x14ac:dyDescent="0.15">
      <c r="Q469" s="9">
        <v>1902</v>
      </c>
      <c r="R469" s="9" t="s">
        <v>515</v>
      </c>
    </row>
    <row r="470" spans="17:18" x14ac:dyDescent="0.15">
      <c r="Q470" s="9">
        <v>1903</v>
      </c>
      <c r="R470" s="9" t="s">
        <v>515</v>
      </c>
    </row>
    <row r="471" spans="17:18" x14ac:dyDescent="0.15">
      <c r="Q471" s="9">
        <v>1904</v>
      </c>
      <c r="R471" s="9" t="s">
        <v>515</v>
      </c>
    </row>
    <row r="472" spans="17:18" x14ac:dyDescent="0.15">
      <c r="Q472" s="9">
        <v>1905</v>
      </c>
      <c r="R472" s="9" t="s">
        <v>515</v>
      </c>
    </row>
    <row r="473" spans="17:18" x14ac:dyDescent="0.15">
      <c r="Q473" s="9">
        <v>1906</v>
      </c>
      <c r="R473" s="9" t="s">
        <v>515</v>
      </c>
    </row>
    <row r="474" spans="17:18" x14ac:dyDescent="0.15">
      <c r="Q474" s="9">
        <v>1908</v>
      </c>
      <c r="R474" s="9" t="s">
        <v>515</v>
      </c>
    </row>
    <row r="475" spans="17:18" x14ac:dyDescent="0.15">
      <c r="Q475" s="9">
        <v>1909</v>
      </c>
      <c r="R475" s="9" t="s">
        <v>515</v>
      </c>
    </row>
    <row r="476" spans="17:18" x14ac:dyDescent="0.15">
      <c r="Q476" s="9">
        <v>1910</v>
      </c>
      <c r="R476" s="9" t="s">
        <v>515</v>
      </c>
    </row>
    <row r="477" spans="17:18" x14ac:dyDescent="0.15">
      <c r="Q477" s="9">
        <v>1911</v>
      </c>
      <c r="R477" s="9" t="s">
        <v>515</v>
      </c>
    </row>
    <row r="478" spans="17:18" x14ac:dyDescent="0.15">
      <c r="Q478" s="9">
        <v>1912</v>
      </c>
      <c r="R478" s="9" t="s">
        <v>515</v>
      </c>
    </row>
    <row r="479" spans="17:18" x14ac:dyDescent="0.15">
      <c r="Q479" s="9">
        <v>1913</v>
      </c>
      <c r="R479" s="9" t="s">
        <v>515</v>
      </c>
    </row>
    <row r="480" spans="17:18" x14ac:dyDescent="0.15">
      <c r="Q480" s="9">
        <v>1914</v>
      </c>
      <c r="R480" s="9" t="s">
        <v>515</v>
      </c>
    </row>
    <row r="481" spans="17:18" x14ac:dyDescent="0.15">
      <c r="Q481" s="9">
        <v>1915</v>
      </c>
      <c r="R481" s="9" t="s">
        <v>515</v>
      </c>
    </row>
    <row r="482" spans="17:18" x14ac:dyDescent="0.15">
      <c r="Q482" s="9">
        <v>1916</v>
      </c>
      <c r="R482" s="9" t="s">
        <v>515</v>
      </c>
    </row>
    <row r="483" spans="17:18" x14ac:dyDescent="0.15">
      <c r="Q483" s="9">
        <v>1917</v>
      </c>
      <c r="R483" s="9" t="s">
        <v>515</v>
      </c>
    </row>
    <row r="484" spans="17:18" x14ac:dyDescent="0.15">
      <c r="Q484" s="9">
        <v>1920</v>
      </c>
      <c r="R484" s="9" t="s">
        <v>515</v>
      </c>
    </row>
    <row r="485" spans="17:18" x14ac:dyDescent="0.15">
      <c r="Q485" s="9">
        <v>1921</v>
      </c>
      <c r="R485" s="9" t="s">
        <v>515</v>
      </c>
    </row>
    <row r="486" spans="17:18" x14ac:dyDescent="0.15">
      <c r="Q486" s="9">
        <v>1922</v>
      </c>
      <c r="R486" s="9" t="s">
        <v>515</v>
      </c>
    </row>
    <row r="487" spans="17:18" x14ac:dyDescent="0.15">
      <c r="Q487" s="9">
        <v>1923</v>
      </c>
      <c r="R487" s="9" t="s">
        <v>515</v>
      </c>
    </row>
    <row r="488" spans="17:18" x14ac:dyDescent="0.15">
      <c r="Q488" s="9">
        <v>1924</v>
      </c>
      <c r="R488" s="9" t="s">
        <v>515</v>
      </c>
    </row>
    <row r="489" spans="17:18" x14ac:dyDescent="0.15">
      <c r="Q489" s="9">
        <v>1925</v>
      </c>
      <c r="R489" s="9" t="s">
        <v>515</v>
      </c>
    </row>
    <row r="490" spans="17:18" x14ac:dyDescent="0.15">
      <c r="Q490" s="9">
        <v>1926</v>
      </c>
      <c r="R490" s="9" t="s">
        <v>515</v>
      </c>
    </row>
    <row r="491" spans="17:18" x14ac:dyDescent="0.15">
      <c r="Q491" s="9">
        <v>1927</v>
      </c>
      <c r="R491" s="9" t="s">
        <v>515</v>
      </c>
    </row>
    <row r="492" spans="17:18" x14ac:dyDescent="0.15">
      <c r="Q492" s="9">
        <v>1928</v>
      </c>
      <c r="R492" s="9" t="s">
        <v>515</v>
      </c>
    </row>
    <row r="493" spans="17:18" x14ac:dyDescent="0.15">
      <c r="Q493" s="9">
        <v>1950</v>
      </c>
      <c r="R493" s="9" t="s">
        <v>515</v>
      </c>
    </row>
    <row r="494" spans="17:18" x14ac:dyDescent="0.15">
      <c r="Q494" s="9">
        <v>1951</v>
      </c>
      <c r="R494" s="9" t="s">
        <v>515</v>
      </c>
    </row>
    <row r="495" spans="17:18" x14ac:dyDescent="0.15">
      <c r="Q495" s="9">
        <v>1952</v>
      </c>
      <c r="R495" s="9" t="s">
        <v>515</v>
      </c>
    </row>
    <row r="496" spans="17:18" x14ac:dyDescent="0.15">
      <c r="Q496" s="9">
        <v>1953</v>
      </c>
      <c r="R496" s="9" t="s">
        <v>515</v>
      </c>
    </row>
    <row r="497" spans="17:18" x14ac:dyDescent="0.15">
      <c r="Q497" s="9">
        <v>1954</v>
      </c>
      <c r="R497" s="9" t="s">
        <v>515</v>
      </c>
    </row>
    <row r="498" spans="17:18" x14ac:dyDescent="0.15">
      <c r="Q498" s="9">
        <v>1955</v>
      </c>
      <c r="R498" s="9" t="s">
        <v>515</v>
      </c>
    </row>
    <row r="499" spans="17:18" x14ac:dyDescent="0.15">
      <c r="Q499" s="9">
        <v>1956</v>
      </c>
      <c r="R499" s="9" t="s">
        <v>515</v>
      </c>
    </row>
    <row r="500" spans="17:18" x14ac:dyDescent="0.15">
      <c r="Q500" s="9">
        <v>1957</v>
      </c>
      <c r="R500" s="9" t="s">
        <v>515</v>
      </c>
    </row>
    <row r="501" spans="17:18" x14ac:dyDescent="0.15">
      <c r="Q501" s="9">
        <v>1958</v>
      </c>
      <c r="R501" s="9" t="s">
        <v>515</v>
      </c>
    </row>
    <row r="502" spans="17:18" x14ac:dyDescent="0.15">
      <c r="Q502" s="9">
        <v>1959</v>
      </c>
      <c r="R502" s="9" t="s">
        <v>515</v>
      </c>
    </row>
    <row r="503" spans="17:18" x14ac:dyDescent="0.15">
      <c r="Q503" s="9">
        <v>1960</v>
      </c>
      <c r="R503" s="9" t="s">
        <v>515</v>
      </c>
    </row>
    <row r="504" spans="17:18" x14ac:dyDescent="0.15">
      <c r="Q504" s="9">
        <v>1961</v>
      </c>
      <c r="R504" s="9" t="s">
        <v>515</v>
      </c>
    </row>
    <row r="505" spans="17:18" x14ac:dyDescent="0.15">
      <c r="Q505" s="9">
        <v>1962</v>
      </c>
      <c r="R505" s="9" t="s">
        <v>515</v>
      </c>
    </row>
    <row r="506" spans="17:18" x14ac:dyDescent="0.15">
      <c r="Q506" s="9">
        <v>1963</v>
      </c>
      <c r="R506" s="9" t="s">
        <v>515</v>
      </c>
    </row>
    <row r="507" spans="17:18" x14ac:dyDescent="0.15">
      <c r="Q507" s="9">
        <v>1964</v>
      </c>
      <c r="R507" s="9" t="s">
        <v>515</v>
      </c>
    </row>
    <row r="508" spans="17:18" x14ac:dyDescent="0.15">
      <c r="Q508" s="9">
        <v>1965</v>
      </c>
      <c r="R508" s="9" t="s">
        <v>515</v>
      </c>
    </row>
    <row r="509" spans="17:18" x14ac:dyDescent="0.15">
      <c r="Q509" s="9">
        <v>1966</v>
      </c>
      <c r="R509" s="9" t="s">
        <v>515</v>
      </c>
    </row>
    <row r="510" spans="17:18" x14ac:dyDescent="0.15">
      <c r="Q510" s="9">
        <v>1967</v>
      </c>
      <c r="R510" s="9" t="s">
        <v>515</v>
      </c>
    </row>
    <row r="511" spans="17:18" x14ac:dyDescent="0.15">
      <c r="Q511" s="9">
        <v>1970</v>
      </c>
      <c r="R511" s="9" t="s">
        <v>515</v>
      </c>
    </row>
    <row r="512" spans="17:18" x14ac:dyDescent="0.15">
      <c r="Q512" s="9">
        <v>1971</v>
      </c>
      <c r="R512" s="9" t="s">
        <v>515</v>
      </c>
    </row>
    <row r="513" spans="17:18" x14ac:dyDescent="0.15">
      <c r="Q513" s="9">
        <v>1972</v>
      </c>
      <c r="R513" s="9" t="s">
        <v>515</v>
      </c>
    </row>
    <row r="514" spans="17:18" x14ac:dyDescent="0.15">
      <c r="Q514" s="9">
        <v>1973</v>
      </c>
      <c r="R514" s="9" t="s">
        <v>515</v>
      </c>
    </row>
    <row r="515" spans="17:18" x14ac:dyDescent="0.15">
      <c r="Q515" s="9">
        <v>1974</v>
      </c>
      <c r="R515" s="9" t="s">
        <v>515</v>
      </c>
    </row>
    <row r="516" spans="17:18" x14ac:dyDescent="0.15">
      <c r="Q516" s="9">
        <v>2000</v>
      </c>
      <c r="R516" s="9" t="s">
        <v>45</v>
      </c>
    </row>
    <row r="517" spans="17:18" x14ac:dyDescent="0.15">
      <c r="Q517" s="9">
        <v>2000</v>
      </c>
      <c r="R517" s="9" t="s">
        <v>45</v>
      </c>
    </row>
    <row r="518" spans="17:18" x14ac:dyDescent="0.15">
      <c r="Q518" s="9">
        <v>2100</v>
      </c>
      <c r="R518" s="9" t="s">
        <v>46</v>
      </c>
    </row>
    <row r="519" spans="17:18" x14ac:dyDescent="0.15">
      <c r="Q519" s="9">
        <v>2150</v>
      </c>
      <c r="R519" s="9" t="s">
        <v>516</v>
      </c>
    </row>
    <row r="520" spans="17:18" x14ac:dyDescent="0.15">
      <c r="Q520" s="9">
        <v>2200</v>
      </c>
      <c r="R520" s="9" t="s">
        <v>11</v>
      </c>
    </row>
    <row r="521" spans="17:18" x14ac:dyDescent="0.15">
      <c r="Q521" s="9">
        <v>2200</v>
      </c>
      <c r="R521" s="9" t="s">
        <v>11</v>
      </c>
    </row>
    <row r="522" spans="17:18" x14ac:dyDescent="0.15">
      <c r="Q522" s="9">
        <v>2300</v>
      </c>
      <c r="R522" s="9" t="s">
        <v>47</v>
      </c>
    </row>
    <row r="523" spans="17:18" x14ac:dyDescent="0.15">
      <c r="Q523" s="9">
        <v>2300</v>
      </c>
      <c r="R523" s="9" t="s">
        <v>47</v>
      </c>
    </row>
    <row r="524" spans="17:18" x14ac:dyDescent="0.15">
      <c r="Q524" s="9">
        <v>2400</v>
      </c>
      <c r="R524" s="9" t="s">
        <v>10</v>
      </c>
    </row>
    <row r="525" spans="17:18" x14ac:dyDescent="0.15">
      <c r="Q525" s="9">
        <v>2450</v>
      </c>
      <c r="R525" s="9" t="s">
        <v>48</v>
      </c>
    </row>
    <row r="526" spans="17:18" x14ac:dyDescent="0.15">
      <c r="Q526" s="9">
        <v>2500</v>
      </c>
      <c r="R526" s="9" t="s">
        <v>9</v>
      </c>
    </row>
    <row r="527" spans="17:18" x14ac:dyDescent="0.15">
      <c r="Q527" s="9">
        <v>2500</v>
      </c>
      <c r="R527" s="9" t="s">
        <v>9</v>
      </c>
    </row>
    <row r="528" spans="17:18" x14ac:dyDescent="0.15">
      <c r="Q528" s="9">
        <v>2600</v>
      </c>
      <c r="R528" s="9" t="s">
        <v>559</v>
      </c>
    </row>
    <row r="529" spans="17:18" x14ac:dyDescent="0.15">
      <c r="Q529" s="9">
        <v>2600</v>
      </c>
      <c r="R529" s="9" t="s">
        <v>559</v>
      </c>
    </row>
    <row r="530" spans="17:18" x14ac:dyDescent="0.15">
      <c r="Q530" s="9">
        <v>2605</v>
      </c>
      <c r="R530" s="9" t="s">
        <v>30</v>
      </c>
    </row>
    <row r="531" spans="17:18" x14ac:dyDescent="0.15">
      <c r="Q531" s="9">
        <v>2610</v>
      </c>
      <c r="R531" s="9" t="s">
        <v>17</v>
      </c>
    </row>
    <row r="532" spans="17:18" x14ac:dyDescent="0.15">
      <c r="Q532" s="9">
        <v>2610</v>
      </c>
      <c r="R532" s="9" t="s">
        <v>17</v>
      </c>
    </row>
    <row r="533" spans="17:18" x14ac:dyDescent="0.15">
      <c r="Q533" s="9">
        <v>2610</v>
      </c>
      <c r="R533" s="9" t="s">
        <v>17</v>
      </c>
    </row>
    <row r="534" spans="17:18" x14ac:dyDescent="0.15">
      <c r="Q534" s="9">
        <v>2620</v>
      </c>
      <c r="R534" s="9" t="s">
        <v>517</v>
      </c>
    </row>
    <row r="535" spans="17:18" x14ac:dyDescent="0.15">
      <c r="Q535" s="9">
        <v>2620</v>
      </c>
      <c r="R535" s="9" t="s">
        <v>517</v>
      </c>
    </row>
    <row r="536" spans="17:18" x14ac:dyDescent="0.15">
      <c r="Q536" s="9">
        <v>2625</v>
      </c>
      <c r="R536" s="9" t="s">
        <v>49</v>
      </c>
    </row>
    <row r="537" spans="17:18" x14ac:dyDescent="0.15">
      <c r="Q537" s="9">
        <v>2630</v>
      </c>
      <c r="R537" s="9" t="s">
        <v>560</v>
      </c>
    </row>
    <row r="538" spans="17:18" x14ac:dyDescent="0.15">
      <c r="Q538" s="9">
        <v>2635</v>
      </c>
      <c r="R538" s="9" t="s">
        <v>43</v>
      </c>
    </row>
    <row r="539" spans="17:18" x14ac:dyDescent="0.15">
      <c r="Q539" s="9">
        <v>2640</v>
      </c>
      <c r="R539" s="9" t="s">
        <v>50</v>
      </c>
    </row>
    <row r="540" spans="17:18" x14ac:dyDescent="0.15">
      <c r="Q540" s="9">
        <v>2640</v>
      </c>
      <c r="R540" s="9" t="s">
        <v>50</v>
      </c>
    </row>
    <row r="541" spans="17:18" x14ac:dyDescent="0.15">
      <c r="Q541" s="9">
        <v>2640</v>
      </c>
      <c r="R541" s="9" t="s">
        <v>50</v>
      </c>
    </row>
    <row r="542" spans="17:18" x14ac:dyDescent="0.15">
      <c r="Q542" s="9">
        <v>2640</v>
      </c>
      <c r="R542" s="9" t="s">
        <v>50</v>
      </c>
    </row>
    <row r="543" spans="17:18" x14ac:dyDescent="0.15">
      <c r="Q543" s="9">
        <v>2650</v>
      </c>
      <c r="R543" s="9" t="s">
        <v>16</v>
      </c>
    </row>
    <row r="544" spans="17:18" x14ac:dyDescent="0.15">
      <c r="Q544" s="9">
        <v>2650</v>
      </c>
      <c r="R544" s="9" t="s">
        <v>16</v>
      </c>
    </row>
    <row r="545" spans="17:18" x14ac:dyDescent="0.15">
      <c r="Q545" s="9">
        <v>2660</v>
      </c>
      <c r="R545" s="9" t="s">
        <v>561</v>
      </c>
    </row>
    <row r="546" spans="17:18" x14ac:dyDescent="0.15">
      <c r="Q546" s="9">
        <v>2660</v>
      </c>
      <c r="R546" s="9" t="s">
        <v>561</v>
      </c>
    </row>
    <row r="547" spans="17:18" x14ac:dyDescent="0.15">
      <c r="Q547" s="9">
        <v>2665</v>
      </c>
      <c r="R547" s="9" t="s">
        <v>562</v>
      </c>
    </row>
    <row r="548" spans="17:18" x14ac:dyDescent="0.15">
      <c r="Q548" s="9">
        <v>2670</v>
      </c>
      <c r="R548" s="9" t="s">
        <v>41</v>
      </c>
    </row>
    <row r="549" spans="17:18" x14ac:dyDescent="0.15">
      <c r="Q549" s="9">
        <v>2680</v>
      </c>
      <c r="R549" s="9" t="s">
        <v>563</v>
      </c>
    </row>
    <row r="550" spans="17:18" x14ac:dyDescent="0.15">
      <c r="Q550" s="9">
        <v>2690</v>
      </c>
      <c r="R550" s="9" t="s">
        <v>42</v>
      </c>
    </row>
    <row r="551" spans="17:18" x14ac:dyDescent="0.15">
      <c r="Q551" s="9">
        <v>2690</v>
      </c>
      <c r="R551" s="9" t="s">
        <v>42</v>
      </c>
    </row>
    <row r="552" spans="17:18" x14ac:dyDescent="0.15">
      <c r="Q552" s="9">
        <v>2700</v>
      </c>
      <c r="R552" s="9" t="s">
        <v>51</v>
      </c>
    </row>
    <row r="553" spans="17:18" x14ac:dyDescent="0.15">
      <c r="Q553" s="9">
        <v>2720</v>
      </c>
      <c r="R553" s="9" t="s">
        <v>8</v>
      </c>
    </row>
    <row r="554" spans="17:18" x14ac:dyDescent="0.15">
      <c r="Q554" s="9">
        <v>2720</v>
      </c>
      <c r="R554" s="9" t="s">
        <v>8</v>
      </c>
    </row>
    <row r="555" spans="17:18" x14ac:dyDescent="0.15">
      <c r="Q555" s="9">
        <v>2730</v>
      </c>
      <c r="R555" s="9" t="s">
        <v>38</v>
      </c>
    </row>
    <row r="556" spans="17:18" x14ac:dyDescent="0.15">
      <c r="Q556" s="9">
        <v>2730</v>
      </c>
      <c r="R556" s="9" t="s">
        <v>38</v>
      </c>
    </row>
    <row r="557" spans="17:18" x14ac:dyDescent="0.15">
      <c r="Q557" s="9">
        <v>2730</v>
      </c>
      <c r="R557" s="9" t="s">
        <v>38</v>
      </c>
    </row>
    <row r="558" spans="17:18" x14ac:dyDescent="0.15">
      <c r="Q558" s="9">
        <v>2740</v>
      </c>
      <c r="R558" s="9" t="s">
        <v>24</v>
      </c>
    </row>
    <row r="559" spans="17:18" x14ac:dyDescent="0.15">
      <c r="Q559" s="9">
        <v>2740</v>
      </c>
      <c r="R559" s="9" t="s">
        <v>24</v>
      </c>
    </row>
    <row r="560" spans="17:18" x14ac:dyDescent="0.15">
      <c r="Q560" s="9">
        <v>2750</v>
      </c>
      <c r="R560" s="9" t="s">
        <v>37</v>
      </c>
    </row>
    <row r="561" spans="17:18" x14ac:dyDescent="0.15">
      <c r="Q561" s="9">
        <v>2750</v>
      </c>
      <c r="R561" s="9" t="s">
        <v>37</v>
      </c>
    </row>
    <row r="562" spans="17:18" x14ac:dyDescent="0.15">
      <c r="Q562" s="9">
        <v>2750</v>
      </c>
      <c r="R562" s="9" t="s">
        <v>37</v>
      </c>
    </row>
    <row r="563" spans="17:18" x14ac:dyDescent="0.15">
      <c r="Q563" s="9">
        <v>2760</v>
      </c>
      <c r="R563" s="9" t="s">
        <v>52</v>
      </c>
    </row>
    <row r="564" spans="17:18" x14ac:dyDescent="0.15">
      <c r="Q564" s="9">
        <v>2765</v>
      </c>
      <c r="R564" s="9" t="s">
        <v>53</v>
      </c>
    </row>
    <row r="565" spans="17:18" x14ac:dyDescent="0.15">
      <c r="Q565" s="9">
        <v>2770</v>
      </c>
      <c r="R565" s="9" t="s">
        <v>556</v>
      </c>
    </row>
    <row r="566" spans="17:18" x14ac:dyDescent="0.15">
      <c r="Q566" s="9">
        <v>2770</v>
      </c>
      <c r="R566" s="9" t="s">
        <v>556</v>
      </c>
    </row>
    <row r="567" spans="17:18" x14ac:dyDescent="0.15">
      <c r="Q567" s="9">
        <v>2791</v>
      </c>
      <c r="R567" s="9" t="s">
        <v>54</v>
      </c>
    </row>
    <row r="568" spans="17:18" x14ac:dyDescent="0.15">
      <c r="Q568" s="9">
        <v>2791</v>
      </c>
      <c r="R568" s="9" t="s">
        <v>54</v>
      </c>
    </row>
    <row r="569" spans="17:18" x14ac:dyDescent="0.15">
      <c r="Q569" s="9">
        <v>2800</v>
      </c>
      <c r="R569" s="9" t="s">
        <v>55</v>
      </c>
    </row>
    <row r="570" spans="17:18" x14ac:dyDescent="0.15">
      <c r="Q570" s="9">
        <v>2800</v>
      </c>
      <c r="R570" s="9" t="s">
        <v>55</v>
      </c>
    </row>
    <row r="571" spans="17:18" x14ac:dyDescent="0.15">
      <c r="Q571" s="9">
        <v>2800</v>
      </c>
      <c r="R571" s="9" t="s">
        <v>55</v>
      </c>
    </row>
    <row r="572" spans="17:18" x14ac:dyDescent="0.15">
      <c r="Q572" s="9">
        <v>2800</v>
      </c>
      <c r="R572" s="9" t="s">
        <v>55</v>
      </c>
    </row>
    <row r="573" spans="17:18" x14ac:dyDescent="0.15">
      <c r="Q573" s="9">
        <v>2820</v>
      </c>
      <c r="R573" s="9" t="s">
        <v>56</v>
      </c>
    </row>
    <row r="574" spans="17:18" x14ac:dyDescent="0.15">
      <c r="Q574" s="9">
        <v>2820</v>
      </c>
      <c r="R574" s="9" t="s">
        <v>56</v>
      </c>
    </row>
    <row r="575" spans="17:18" x14ac:dyDescent="0.15">
      <c r="Q575" s="9">
        <v>2830</v>
      </c>
      <c r="R575" s="9" t="s">
        <v>57</v>
      </c>
    </row>
    <row r="576" spans="17:18" x14ac:dyDescent="0.15">
      <c r="Q576" s="9">
        <v>2830</v>
      </c>
      <c r="R576" s="9" t="s">
        <v>57</v>
      </c>
    </row>
    <row r="577" spans="17:18" x14ac:dyDescent="0.15">
      <c r="Q577" s="9">
        <v>2840</v>
      </c>
      <c r="R577" s="9" t="s">
        <v>58</v>
      </c>
    </row>
    <row r="578" spans="17:18" x14ac:dyDescent="0.15">
      <c r="Q578" s="9">
        <v>2840</v>
      </c>
      <c r="R578" s="9" t="s">
        <v>58</v>
      </c>
    </row>
    <row r="579" spans="17:18" x14ac:dyDescent="0.15">
      <c r="Q579" s="9">
        <v>2850</v>
      </c>
      <c r="R579" s="9" t="s">
        <v>59</v>
      </c>
    </row>
    <row r="580" spans="17:18" x14ac:dyDescent="0.15">
      <c r="Q580" s="9">
        <v>2860</v>
      </c>
      <c r="R580" s="9" t="s">
        <v>60</v>
      </c>
    </row>
    <row r="581" spans="17:18" x14ac:dyDescent="0.15">
      <c r="Q581" s="9">
        <v>2860</v>
      </c>
      <c r="R581" s="9" t="s">
        <v>60</v>
      </c>
    </row>
    <row r="582" spans="17:18" x14ac:dyDescent="0.15">
      <c r="Q582" s="9">
        <v>2870</v>
      </c>
      <c r="R582" s="9" t="s">
        <v>518</v>
      </c>
    </row>
    <row r="583" spans="17:18" x14ac:dyDescent="0.15">
      <c r="Q583" s="9">
        <v>2880</v>
      </c>
      <c r="R583" s="9" t="s">
        <v>61</v>
      </c>
    </row>
    <row r="584" spans="17:18" x14ac:dyDescent="0.15">
      <c r="Q584" s="9">
        <v>2880</v>
      </c>
      <c r="R584" s="9" t="s">
        <v>61</v>
      </c>
    </row>
    <row r="585" spans="17:18" x14ac:dyDescent="0.15">
      <c r="Q585" s="9">
        <v>2880</v>
      </c>
      <c r="R585" s="9" t="s">
        <v>61</v>
      </c>
    </row>
    <row r="586" spans="17:18" x14ac:dyDescent="0.15">
      <c r="Q586" s="9">
        <v>2900</v>
      </c>
      <c r="R586" s="9" t="s">
        <v>62</v>
      </c>
    </row>
    <row r="587" spans="17:18" x14ac:dyDescent="0.15">
      <c r="Q587" s="9">
        <v>2900</v>
      </c>
      <c r="R587" s="9" t="s">
        <v>62</v>
      </c>
    </row>
    <row r="588" spans="17:18" x14ac:dyDescent="0.15">
      <c r="Q588" s="9">
        <v>2920</v>
      </c>
      <c r="R588" s="9" t="s">
        <v>63</v>
      </c>
    </row>
    <row r="589" spans="17:18" x14ac:dyDescent="0.15">
      <c r="Q589" s="9">
        <v>2930</v>
      </c>
      <c r="R589" s="9" t="s">
        <v>64</v>
      </c>
    </row>
    <row r="590" spans="17:18" x14ac:dyDescent="0.15">
      <c r="Q590" s="9">
        <v>2930</v>
      </c>
      <c r="R590" s="9" t="s">
        <v>64</v>
      </c>
    </row>
    <row r="591" spans="17:18" x14ac:dyDescent="0.15">
      <c r="Q591" s="9">
        <v>2942</v>
      </c>
      <c r="R591" s="9" t="s">
        <v>65</v>
      </c>
    </row>
    <row r="592" spans="17:18" x14ac:dyDescent="0.15">
      <c r="Q592" s="9">
        <v>2950</v>
      </c>
      <c r="R592" s="9" t="s">
        <v>66</v>
      </c>
    </row>
    <row r="593" spans="17:18" x14ac:dyDescent="0.15">
      <c r="Q593" s="9">
        <v>2950</v>
      </c>
      <c r="R593" s="9" t="s">
        <v>66</v>
      </c>
    </row>
    <row r="594" spans="17:18" x14ac:dyDescent="0.15">
      <c r="Q594" s="9">
        <v>2960</v>
      </c>
      <c r="R594" s="9" t="s">
        <v>564</v>
      </c>
    </row>
    <row r="595" spans="17:18" x14ac:dyDescent="0.15">
      <c r="Q595" s="9">
        <v>2970</v>
      </c>
      <c r="R595" s="9" t="s">
        <v>67</v>
      </c>
    </row>
    <row r="596" spans="17:18" x14ac:dyDescent="0.15">
      <c r="Q596" s="9">
        <v>2970</v>
      </c>
      <c r="R596" s="9" t="s">
        <v>67</v>
      </c>
    </row>
    <row r="597" spans="17:18" x14ac:dyDescent="0.15">
      <c r="Q597" s="9">
        <v>2970</v>
      </c>
      <c r="R597" s="9" t="s">
        <v>67</v>
      </c>
    </row>
    <row r="598" spans="17:18" x14ac:dyDescent="0.15">
      <c r="Q598" s="9">
        <v>2980</v>
      </c>
      <c r="R598" s="9" t="s">
        <v>68</v>
      </c>
    </row>
    <row r="599" spans="17:18" x14ac:dyDescent="0.15">
      <c r="Q599" s="9">
        <v>2980</v>
      </c>
      <c r="R599" s="9" t="s">
        <v>68</v>
      </c>
    </row>
    <row r="600" spans="17:18" x14ac:dyDescent="0.15">
      <c r="Q600" s="9">
        <v>2990</v>
      </c>
      <c r="R600" s="9" t="s">
        <v>69</v>
      </c>
    </row>
    <row r="601" spans="17:18" x14ac:dyDescent="0.15">
      <c r="Q601" s="9">
        <v>3000</v>
      </c>
      <c r="R601" s="9" t="s">
        <v>70</v>
      </c>
    </row>
    <row r="602" spans="17:18" x14ac:dyDescent="0.15">
      <c r="Q602" s="9">
        <v>3050</v>
      </c>
      <c r="R602" s="9" t="s">
        <v>71</v>
      </c>
    </row>
    <row r="603" spans="17:18" x14ac:dyDescent="0.15">
      <c r="Q603" s="9">
        <v>3060</v>
      </c>
      <c r="R603" s="9" t="s">
        <v>72</v>
      </c>
    </row>
    <row r="604" spans="17:18" x14ac:dyDescent="0.15">
      <c r="Q604" s="9">
        <v>3060</v>
      </c>
      <c r="R604" s="9" t="s">
        <v>72</v>
      </c>
    </row>
    <row r="605" spans="17:18" x14ac:dyDescent="0.15">
      <c r="Q605" s="9">
        <v>3070</v>
      </c>
      <c r="R605" s="9" t="s">
        <v>565</v>
      </c>
    </row>
    <row r="606" spans="17:18" x14ac:dyDescent="0.15">
      <c r="Q606" s="9">
        <v>3080</v>
      </c>
      <c r="R606" s="9" t="s">
        <v>73</v>
      </c>
    </row>
    <row r="607" spans="17:18" x14ac:dyDescent="0.15">
      <c r="Q607" s="9">
        <v>3100</v>
      </c>
      <c r="R607" s="9" t="s">
        <v>74</v>
      </c>
    </row>
    <row r="608" spans="17:18" x14ac:dyDescent="0.15">
      <c r="Q608" s="9">
        <v>3100</v>
      </c>
      <c r="R608" s="9" t="s">
        <v>74</v>
      </c>
    </row>
    <row r="609" spans="17:18" x14ac:dyDescent="0.15">
      <c r="Q609" s="9">
        <v>3120</v>
      </c>
      <c r="R609" s="9" t="s">
        <v>75</v>
      </c>
    </row>
    <row r="610" spans="17:18" x14ac:dyDescent="0.15">
      <c r="Q610" s="9">
        <v>3140</v>
      </c>
      <c r="R610" s="9" t="s">
        <v>76</v>
      </c>
    </row>
    <row r="611" spans="17:18" x14ac:dyDescent="0.15">
      <c r="Q611" s="9">
        <v>3150</v>
      </c>
      <c r="R611" s="9" t="s">
        <v>77</v>
      </c>
    </row>
    <row r="612" spans="17:18" x14ac:dyDescent="0.15">
      <c r="Q612" s="9">
        <v>3200</v>
      </c>
      <c r="R612" s="9" t="s">
        <v>78</v>
      </c>
    </row>
    <row r="613" spans="17:18" x14ac:dyDescent="0.15">
      <c r="Q613" s="9">
        <v>3200</v>
      </c>
      <c r="R613" s="9" t="s">
        <v>78</v>
      </c>
    </row>
    <row r="614" spans="17:18" x14ac:dyDescent="0.15">
      <c r="Q614" s="9">
        <v>3210</v>
      </c>
      <c r="R614" s="9" t="s">
        <v>79</v>
      </c>
    </row>
    <row r="615" spans="17:18" x14ac:dyDescent="0.15">
      <c r="Q615" s="9">
        <v>3220</v>
      </c>
      <c r="R615" s="9" t="s">
        <v>80</v>
      </c>
    </row>
    <row r="616" spans="17:18" x14ac:dyDescent="0.15">
      <c r="Q616" s="9">
        <v>3230</v>
      </c>
      <c r="R616" s="9" t="s">
        <v>566</v>
      </c>
    </row>
    <row r="617" spans="17:18" x14ac:dyDescent="0.15">
      <c r="Q617" s="9">
        <v>3230</v>
      </c>
      <c r="R617" s="9" t="s">
        <v>566</v>
      </c>
    </row>
    <row r="618" spans="17:18" x14ac:dyDescent="0.15">
      <c r="Q618" s="9">
        <v>3230</v>
      </c>
      <c r="R618" s="9" t="s">
        <v>566</v>
      </c>
    </row>
    <row r="619" spans="17:18" x14ac:dyDescent="0.15">
      <c r="Q619" s="9">
        <v>3250</v>
      </c>
      <c r="R619" s="9" t="s">
        <v>81</v>
      </c>
    </row>
    <row r="620" spans="17:18" x14ac:dyDescent="0.15">
      <c r="Q620" s="9">
        <v>3300</v>
      </c>
      <c r="R620" s="9" t="s">
        <v>82</v>
      </c>
    </row>
    <row r="621" spans="17:18" x14ac:dyDescent="0.15">
      <c r="Q621" s="9">
        <v>3300</v>
      </c>
      <c r="R621" s="9" t="s">
        <v>82</v>
      </c>
    </row>
    <row r="622" spans="17:18" x14ac:dyDescent="0.15">
      <c r="Q622" s="9">
        <v>3310</v>
      </c>
      <c r="R622" s="9" t="s">
        <v>567</v>
      </c>
    </row>
    <row r="623" spans="17:18" x14ac:dyDescent="0.15">
      <c r="Q623" s="9">
        <v>3310</v>
      </c>
      <c r="R623" s="9" t="s">
        <v>567</v>
      </c>
    </row>
    <row r="624" spans="17:18" x14ac:dyDescent="0.15">
      <c r="Q624" s="9">
        <v>3320</v>
      </c>
      <c r="R624" s="9" t="s">
        <v>83</v>
      </c>
    </row>
    <row r="625" spans="17:18" x14ac:dyDescent="0.15">
      <c r="Q625" s="9">
        <v>3320</v>
      </c>
      <c r="R625" s="9" t="s">
        <v>83</v>
      </c>
    </row>
    <row r="626" spans="17:18" x14ac:dyDescent="0.15">
      <c r="Q626" s="9">
        <v>3330</v>
      </c>
      <c r="R626" s="9" t="s">
        <v>84</v>
      </c>
    </row>
    <row r="627" spans="17:18" x14ac:dyDescent="0.15">
      <c r="Q627" s="9">
        <v>3360</v>
      </c>
      <c r="R627" s="9" t="s">
        <v>85</v>
      </c>
    </row>
    <row r="628" spans="17:18" x14ac:dyDescent="0.15">
      <c r="Q628" s="9">
        <v>3370</v>
      </c>
      <c r="R628" s="9" t="s">
        <v>86</v>
      </c>
    </row>
    <row r="629" spans="17:18" x14ac:dyDescent="0.15">
      <c r="Q629" s="9">
        <v>3390</v>
      </c>
      <c r="R629" s="9" t="s">
        <v>568</v>
      </c>
    </row>
    <row r="630" spans="17:18" x14ac:dyDescent="0.15">
      <c r="Q630" s="9">
        <v>3400</v>
      </c>
      <c r="R630" s="9" t="s">
        <v>87</v>
      </c>
    </row>
    <row r="631" spans="17:18" x14ac:dyDescent="0.15">
      <c r="Q631" s="9">
        <v>3400</v>
      </c>
      <c r="R631" s="9" t="s">
        <v>87</v>
      </c>
    </row>
    <row r="632" spans="17:18" x14ac:dyDescent="0.15">
      <c r="Q632" s="9">
        <v>3400</v>
      </c>
      <c r="R632" s="9" t="s">
        <v>87</v>
      </c>
    </row>
    <row r="633" spans="17:18" x14ac:dyDescent="0.15">
      <c r="Q633" s="9">
        <v>3450</v>
      </c>
      <c r="R633" s="9" t="s">
        <v>519</v>
      </c>
    </row>
    <row r="634" spans="17:18" x14ac:dyDescent="0.15">
      <c r="Q634" s="9">
        <v>3450</v>
      </c>
      <c r="R634" s="9" t="s">
        <v>519</v>
      </c>
    </row>
    <row r="635" spans="17:18" x14ac:dyDescent="0.15">
      <c r="Q635" s="9">
        <v>3450</v>
      </c>
      <c r="R635" s="9" t="s">
        <v>519</v>
      </c>
    </row>
    <row r="636" spans="17:18" x14ac:dyDescent="0.15">
      <c r="Q636" s="9">
        <v>3460</v>
      </c>
      <c r="R636" s="9" t="s">
        <v>88</v>
      </c>
    </row>
    <row r="637" spans="17:18" x14ac:dyDescent="0.15">
      <c r="Q637" s="9">
        <v>3460</v>
      </c>
      <c r="R637" s="9" t="s">
        <v>88</v>
      </c>
    </row>
    <row r="638" spans="17:18" x14ac:dyDescent="0.15">
      <c r="Q638" s="9">
        <v>3460</v>
      </c>
      <c r="R638" s="9" t="s">
        <v>88</v>
      </c>
    </row>
    <row r="639" spans="17:18" x14ac:dyDescent="0.15">
      <c r="Q639" s="9">
        <v>3480</v>
      </c>
      <c r="R639" s="9" t="s">
        <v>89</v>
      </c>
    </row>
    <row r="640" spans="17:18" x14ac:dyDescent="0.15">
      <c r="Q640" s="9">
        <v>3480</v>
      </c>
      <c r="R640" s="9" t="s">
        <v>89</v>
      </c>
    </row>
    <row r="641" spans="17:18" x14ac:dyDescent="0.15">
      <c r="Q641" s="9">
        <v>3480</v>
      </c>
      <c r="R641" s="9" t="s">
        <v>89</v>
      </c>
    </row>
    <row r="642" spans="17:18" x14ac:dyDescent="0.15">
      <c r="Q642" s="9">
        <v>3490</v>
      </c>
      <c r="R642" s="9" t="s">
        <v>569</v>
      </c>
    </row>
    <row r="643" spans="17:18" x14ac:dyDescent="0.15">
      <c r="Q643" s="9">
        <v>3490</v>
      </c>
      <c r="R643" s="9" t="s">
        <v>569</v>
      </c>
    </row>
    <row r="644" spans="17:18" x14ac:dyDescent="0.15">
      <c r="Q644" s="9">
        <v>3500</v>
      </c>
      <c r="R644" s="9" t="s">
        <v>90</v>
      </c>
    </row>
    <row r="645" spans="17:18" x14ac:dyDescent="0.15">
      <c r="Q645" s="9">
        <v>3500</v>
      </c>
      <c r="R645" s="9" t="s">
        <v>90</v>
      </c>
    </row>
    <row r="646" spans="17:18" x14ac:dyDescent="0.15">
      <c r="Q646" s="9">
        <v>3500</v>
      </c>
      <c r="R646" s="9" t="s">
        <v>90</v>
      </c>
    </row>
    <row r="647" spans="17:18" x14ac:dyDescent="0.15">
      <c r="Q647" s="9">
        <v>3500</v>
      </c>
      <c r="R647" s="9" t="s">
        <v>90</v>
      </c>
    </row>
    <row r="648" spans="17:18" x14ac:dyDescent="0.15">
      <c r="Q648" s="9">
        <v>3500</v>
      </c>
      <c r="R648" s="9" t="s">
        <v>90</v>
      </c>
    </row>
    <row r="649" spans="17:18" x14ac:dyDescent="0.15">
      <c r="Q649" s="9">
        <v>3520</v>
      </c>
      <c r="R649" s="9" t="s">
        <v>91</v>
      </c>
    </row>
    <row r="650" spans="17:18" x14ac:dyDescent="0.15">
      <c r="Q650" s="9">
        <v>3520</v>
      </c>
      <c r="R650" s="9" t="s">
        <v>91</v>
      </c>
    </row>
    <row r="651" spans="17:18" x14ac:dyDescent="0.15">
      <c r="Q651" s="9">
        <v>3520</v>
      </c>
      <c r="R651" s="9" t="s">
        <v>91</v>
      </c>
    </row>
    <row r="652" spans="17:18" x14ac:dyDescent="0.15">
      <c r="Q652" s="9">
        <v>3540</v>
      </c>
      <c r="R652" s="9" t="s">
        <v>92</v>
      </c>
    </row>
    <row r="653" spans="17:18" x14ac:dyDescent="0.15">
      <c r="Q653" s="9">
        <v>3540</v>
      </c>
      <c r="R653" s="9" t="s">
        <v>92</v>
      </c>
    </row>
    <row r="654" spans="17:18" x14ac:dyDescent="0.15">
      <c r="Q654" s="9">
        <v>3540</v>
      </c>
      <c r="R654" s="9" t="s">
        <v>92</v>
      </c>
    </row>
    <row r="655" spans="17:18" x14ac:dyDescent="0.15">
      <c r="Q655" s="9">
        <v>3540</v>
      </c>
      <c r="R655" s="9" t="s">
        <v>92</v>
      </c>
    </row>
    <row r="656" spans="17:18" x14ac:dyDescent="0.15">
      <c r="Q656" s="9">
        <v>3550</v>
      </c>
      <c r="R656" s="9" t="s">
        <v>93</v>
      </c>
    </row>
    <row r="657" spans="17:18" x14ac:dyDescent="0.15">
      <c r="Q657" s="9">
        <v>3550</v>
      </c>
      <c r="R657" s="9" t="s">
        <v>93</v>
      </c>
    </row>
    <row r="658" spans="17:18" x14ac:dyDescent="0.15">
      <c r="Q658" s="9">
        <v>3550</v>
      </c>
      <c r="R658" s="9" t="s">
        <v>93</v>
      </c>
    </row>
    <row r="659" spans="17:18" x14ac:dyDescent="0.15">
      <c r="Q659" s="9">
        <v>3550</v>
      </c>
      <c r="R659" s="9" t="s">
        <v>93</v>
      </c>
    </row>
    <row r="660" spans="17:18" x14ac:dyDescent="0.15">
      <c r="Q660" s="9">
        <v>3600</v>
      </c>
      <c r="R660" s="9" t="s">
        <v>94</v>
      </c>
    </row>
    <row r="661" spans="17:18" x14ac:dyDescent="0.15">
      <c r="Q661" s="9">
        <v>3600</v>
      </c>
      <c r="R661" s="9" t="s">
        <v>94</v>
      </c>
    </row>
    <row r="662" spans="17:18" x14ac:dyDescent="0.15">
      <c r="Q662" s="9">
        <v>3600</v>
      </c>
      <c r="R662" s="9" t="s">
        <v>94</v>
      </c>
    </row>
    <row r="663" spans="17:18" x14ac:dyDescent="0.15">
      <c r="Q663" s="9">
        <v>3630</v>
      </c>
      <c r="R663" s="9" t="s">
        <v>95</v>
      </c>
    </row>
    <row r="664" spans="17:18" x14ac:dyDescent="0.15">
      <c r="Q664" s="9">
        <v>3650</v>
      </c>
      <c r="R664" s="9" t="s">
        <v>570</v>
      </c>
    </row>
    <row r="665" spans="17:18" x14ac:dyDescent="0.15">
      <c r="Q665" s="9">
        <v>3660</v>
      </c>
      <c r="R665" s="9" t="s">
        <v>571</v>
      </c>
    </row>
    <row r="666" spans="17:18" x14ac:dyDescent="0.15">
      <c r="Q666" s="9">
        <v>3670</v>
      </c>
      <c r="R666" s="9" t="s">
        <v>96</v>
      </c>
    </row>
    <row r="667" spans="17:18" x14ac:dyDescent="0.15">
      <c r="Q667" s="9">
        <v>3670</v>
      </c>
      <c r="R667" s="9" t="s">
        <v>96</v>
      </c>
    </row>
    <row r="668" spans="17:18" x14ac:dyDescent="0.15">
      <c r="Q668" s="9">
        <v>3700</v>
      </c>
      <c r="R668" s="9" t="s">
        <v>97</v>
      </c>
    </row>
    <row r="669" spans="17:18" x14ac:dyDescent="0.15">
      <c r="Q669" s="9">
        <v>3720</v>
      </c>
      <c r="R669" s="9" t="s">
        <v>98</v>
      </c>
    </row>
    <row r="670" spans="17:18" x14ac:dyDescent="0.15">
      <c r="Q670" s="9">
        <v>3730</v>
      </c>
      <c r="R670" s="9" t="s">
        <v>99</v>
      </c>
    </row>
    <row r="671" spans="17:18" x14ac:dyDescent="0.15">
      <c r="Q671" s="9">
        <v>3740</v>
      </c>
      <c r="R671" s="9" t="s">
        <v>100</v>
      </c>
    </row>
    <row r="672" spans="17:18" x14ac:dyDescent="0.15">
      <c r="Q672" s="9">
        <v>3751</v>
      </c>
      <c r="R672" s="9" t="s">
        <v>572</v>
      </c>
    </row>
    <row r="673" spans="17:18" x14ac:dyDescent="0.15">
      <c r="Q673" s="9">
        <v>3760</v>
      </c>
      <c r="R673" s="9" t="s">
        <v>101</v>
      </c>
    </row>
    <row r="674" spans="17:18" x14ac:dyDescent="0.15">
      <c r="Q674" s="9">
        <v>3760</v>
      </c>
      <c r="R674" s="9" t="s">
        <v>101</v>
      </c>
    </row>
    <row r="675" spans="17:18" x14ac:dyDescent="0.15">
      <c r="Q675" s="9">
        <v>3770</v>
      </c>
      <c r="R675" s="9" t="s">
        <v>102</v>
      </c>
    </row>
    <row r="676" spans="17:18" x14ac:dyDescent="0.15">
      <c r="Q676" s="9">
        <v>3782</v>
      </c>
      <c r="R676" s="9" t="s">
        <v>103</v>
      </c>
    </row>
    <row r="677" spans="17:18" x14ac:dyDescent="0.15">
      <c r="Q677" s="9">
        <v>3790</v>
      </c>
      <c r="R677" s="9" t="s">
        <v>104</v>
      </c>
    </row>
    <row r="678" spans="17:18" x14ac:dyDescent="0.15">
      <c r="Q678" s="9">
        <v>4000</v>
      </c>
      <c r="R678" s="9" t="s">
        <v>105</v>
      </c>
    </row>
    <row r="679" spans="17:18" x14ac:dyDescent="0.15">
      <c r="Q679" s="9">
        <v>4000</v>
      </c>
      <c r="R679" s="9" t="s">
        <v>105</v>
      </c>
    </row>
    <row r="680" spans="17:18" x14ac:dyDescent="0.15">
      <c r="Q680" s="9">
        <v>4000</v>
      </c>
      <c r="R680" s="9" t="s">
        <v>105</v>
      </c>
    </row>
    <row r="681" spans="17:18" x14ac:dyDescent="0.15">
      <c r="Q681" s="9">
        <v>4030</v>
      </c>
      <c r="R681" s="9" t="s">
        <v>520</v>
      </c>
    </row>
    <row r="682" spans="17:18" x14ac:dyDescent="0.15">
      <c r="Q682" s="9">
        <v>4030</v>
      </c>
      <c r="R682" s="9" t="s">
        <v>520</v>
      </c>
    </row>
    <row r="683" spans="17:18" x14ac:dyDescent="0.15">
      <c r="Q683" s="9">
        <v>4040</v>
      </c>
      <c r="R683" s="9" t="s">
        <v>106</v>
      </c>
    </row>
    <row r="684" spans="17:18" x14ac:dyDescent="0.15">
      <c r="Q684" s="9">
        <v>4050</v>
      </c>
      <c r="R684" s="9" t="s">
        <v>107</v>
      </c>
    </row>
    <row r="685" spans="17:18" x14ac:dyDescent="0.15">
      <c r="Q685" s="9">
        <v>4060</v>
      </c>
      <c r="R685" s="9" t="s">
        <v>108</v>
      </c>
    </row>
    <row r="686" spans="17:18" x14ac:dyDescent="0.15">
      <c r="Q686" s="9">
        <v>4070</v>
      </c>
      <c r="R686" s="9" t="s">
        <v>109</v>
      </c>
    </row>
    <row r="687" spans="17:18" x14ac:dyDescent="0.15">
      <c r="Q687" s="9">
        <v>4100</v>
      </c>
      <c r="R687" s="9" t="s">
        <v>573</v>
      </c>
    </row>
    <row r="688" spans="17:18" x14ac:dyDescent="0.15">
      <c r="Q688" s="9">
        <v>4100</v>
      </c>
      <c r="R688" s="9" t="s">
        <v>573</v>
      </c>
    </row>
    <row r="689" spans="17:18" x14ac:dyDescent="0.15">
      <c r="Q689" s="9">
        <v>4100</v>
      </c>
      <c r="R689" s="9" t="s">
        <v>573</v>
      </c>
    </row>
    <row r="690" spans="17:18" x14ac:dyDescent="0.15">
      <c r="Q690" s="9">
        <v>4100</v>
      </c>
      <c r="R690" s="9" t="s">
        <v>573</v>
      </c>
    </row>
    <row r="691" spans="17:18" x14ac:dyDescent="0.15">
      <c r="Q691" s="9">
        <v>4100</v>
      </c>
      <c r="R691" s="9" t="s">
        <v>573</v>
      </c>
    </row>
    <row r="692" spans="17:18" x14ac:dyDescent="0.15">
      <c r="Q692" s="9">
        <v>4100</v>
      </c>
      <c r="R692" s="9" t="s">
        <v>573</v>
      </c>
    </row>
    <row r="693" spans="17:18" x14ac:dyDescent="0.15">
      <c r="Q693" s="9">
        <v>4130</v>
      </c>
      <c r="R693" s="9" t="s">
        <v>110</v>
      </c>
    </row>
    <row r="694" spans="17:18" x14ac:dyDescent="0.15">
      <c r="Q694" s="9">
        <v>4130</v>
      </c>
      <c r="R694" s="9" t="s">
        <v>110</v>
      </c>
    </row>
    <row r="695" spans="17:18" x14ac:dyDescent="0.15">
      <c r="Q695" s="9">
        <v>4140</v>
      </c>
      <c r="R695" s="9" t="s">
        <v>111</v>
      </c>
    </row>
    <row r="696" spans="17:18" x14ac:dyDescent="0.15">
      <c r="Q696" s="9">
        <v>4140</v>
      </c>
      <c r="R696" s="9" t="s">
        <v>111</v>
      </c>
    </row>
    <row r="697" spans="17:18" x14ac:dyDescent="0.15">
      <c r="Q697" s="9">
        <v>4140</v>
      </c>
      <c r="R697" s="9" t="s">
        <v>111</v>
      </c>
    </row>
    <row r="698" spans="17:18" x14ac:dyDescent="0.15">
      <c r="Q698" s="9">
        <v>4160</v>
      </c>
      <c r="R698" s="9" t="s">
        <v>112</v>
      </c>
    </row>
    <row r="699" spans="17:18" x14ac:dyDescent="0.15">
      <c r="Q699" s="9">
        <v>4160</v>
      </c>
      <c r="R699" s="9" t="s">
        <v>112</v>
      </c>
    </row>
    <row r="700" spans="17:18" x14ac:dyDescent="0.15">
      <c r="Q700" s="9">
        <v>4171</v>
      </c>
      <c r="R700" s="9" t="s">
        <v>113</v>
      </c>
    </row>
    <row r="701" spans="17:18" x14ac:dyDescent="0.15">
      <c r="Q701" s="9">
        <v>4173</v>
      </c>
      <c r="R701" s="9" t="s">
        <v>114</v>
      </c>
    </row>
    <row r="702" spans="17:18" x14ac:dyDescent="0.15">
      <c r="Q702" s="9">
        <v>4173</v>
      </c>
      <c r="R702" s="9" t="s">
        <v>114</v>
      </c>
    </row>
    <row r="703" spans="17:18" x14ac:dyDescent="0.15">
      <c r="Q703" s="9">
        <v>4174</v>
      </c>
      <c r="R703" s="9" t="s">
        <v>574</v>
      </c>
    </row>
    <row r="704" spans="17:18" x14ac:dyDescent="0.15">
      <c r="Q704" s="9">
        <v>4174</v>
      </c>
      <c r="R704" s="9" t="s">
        <v>574</v>
      </c>
    </row>
    <row r="705" spans="17:18" x14ac:dyDescent="0.15">
      <c r="Q705" s="9">
        <v>4180</v>
      </c>
      <c r="R705" s="9" t="s">
        <v>115</v>
      </c>
    </row>
    <row r="706" spans="17:18" x14ac:dyDescent="0.15">
      <c r="Q706" s="9">
        <v>4180</v>
      </c>
      <c r="R706" s="9" t="s">
        <v>115</v>
      </c>
    </row>
    <row r="707" spans="17:18" x14ac:dyDescent="0.15">
      <c r="Q707" s="9">
        <v>4180</v>
      </c>
      <c r="R707" s="9" t="s">
        <v>115</v>
      </c>
    </row>
    <row r="708" spans="17:18" x14ac:dyDescent="0.15">
      <c r="Q708" s="9">
        <v>4190</v>
      </c>
      <c r="R708" s="9" t="s">
        <v>116</v>
      </c>
    </row>
    <row r="709" spans="17:18" x14ac:dyDescent="0.15">
      <c r="Q709" s="9">
        <v>4190</v>
      </c>
      <c r="R709" s="9" t="s">
        <v>116</v>
      </c>
    </row>
    <row r="710" spans="17:18" x14ac:dyDescent="0.15">
      <c r="Q710" s="9">
        <v>4200</v>
      </c>
      <c r="R710" s="9" t="s">
        <v>117</v>
      </c>
    </row>
    <row r="711" spans="17:18" x14ac:dyDescent="0.15">
      <c r="Q711" s="9">
        <v>4200</v>
      </c>
      <c r="R711" s="9" t="s">
        <v>117</v>
      </c>
    </row>
    <row r="712" spans="17:18" x14ac:dyDescent="0.15">
      <c r="Q712" s="9">
        <v>4200</v>
      </c>
      <c r="R712" s="9" t="s">
        <v>117</v>
      </c>
    </row>
    <row r="713" spans="17:18" x14ac:dyDescent="0.15">
      <c r="Q713" s="9">
        <v>4200</v>
      </c>
      <c r="R713" s="9" t="s">
        <v>117</v>
      </c>
    </row>
    <row r="714" spans="17:18" x14ac:dyDescent="0.15">
      <c r="Q714" s="9">
        <v>4220</v>
      </c>
      <c r="R714" s="9" t="s">
        <v>118</v>
      </c>
    </row>
    <row r="715" spans="17:18" x14ac:dyDescent="0.15">
      <c r="Q715" s="9">
        <v>4230</v>
      </c>
      <c r="R715" s="9" t="s">
        <v>119</v>
      </c>
    </row>
    <row r="716" spans="17:18" x14ac:dyDescent="0.15">
      <c r="Q716" s="9">
        <v>4241</v>
      </c>
      <c r="R716" s="9" t="s">
        <v>120</v>
      </c>
    </row>
    <row r="717" spans="17:18" x14ac:dyDescent="0.15">
      <c r="Q717" s="9">
        <v>4242</v>
      </c>
      <c r="R717" s="9" t="s">
        <v>121</v>
      </c>
    </row>
    <row r="718" spans="17:18" x14ac:dyDescent="0.15">
      <c r="Q718" s="9">
        <v>4243</v>
      </c>
      <c r="R718" s="9" t="s">
        <v>122</v>
      </c>
    </row>
    <row r="719" spans="17:18" x14ac:dyDescent="0.15">
      <c r="Q719" s="9">
        <v>4243</v>
      </c>
      <c r="R719" s="9" t="s">
        <v>122</v>
      </c>
    </row>
    <row r="720" spans="17:18" x14ac:dyDescent="0.15">
      <c r="Q720" s="9">
        <v>4244</v>
      </c>
      <c r="R720" s="9" t="s">
        <v>521</v>
      </c>
    </row>
    <row r="721" spans="17:18" x14ac:dyDescent="0.15">
      <c r="Q721" s="9">
        <v>4245</v>
      </c>
      <c r="R721" s="9" t="s">
        <v>522</v>
      </c>
    </row>
    <row r="722" spans="17:18" x14ac:dyDescent="0.15">
      <c r="Q722" s="9">
        <v>4250</v>
      </c>
      <c r="R722" s="9" t="s">
        <v>123</v>
      </c>
    </row>
    <row r="723" spans="17:18" x14ac:dyDescent="0.15">
      <c r="Q723" s="9">
        <v>4250</v>
      </c>
      <c r="R723" s="9" t="s">
        <v>123</v>
      </c>
    </row>
    <row r="724" spans="17:18" x14ac:dyDescent="0.15">
      <c r="Q724" s="9">
        <v>4261</v>
      </c>
      <c r="R724" s="9" t="s">
        <v>124</v>
      </c>
    </row>
    <row r="725" spans="17:18" x14ac:dyDescent="0.15">
      <c r="Q725" s="9">
        <v>4261</v>
      </c>
      <c r="R725" s="9" t="s">
        <v>124</v>
      </c>
    </row>
    <row r="726" spans="17:18" x14ac:dyDescent="0.15">
      <c r="Q726" s="9">
        <v>4262</v>
      </c>
      <c r="R726" s="9" t="s">
        <v>125</v>
      </c>
    </row>
    <row r="727" spans="17:18" x14ac:dyDescent="0.15">
      <c r="Q727" s="9">
        <v>4262</v>
      </c>
      <c r="R727" s="9" t="s">
        <v>125</v>
      </c>
    </row>
    <row r="728" spans="17:18" x14ac:dyDescent="0.15">
      <c r="Q728" s="9">
        <v>4270</v>
      </c>
      <c r="R728" s="9" t="s">
        <v>126</v>
      </c>
    </row>
    <row r="729" spans="17:18" x14ac:dyDescent="0.15">
      <c r="Q729" s="9">
        <v>4270</v>
      </c>
      <c r="R729" s="9" t="s">
        <v>126</v>
      </c>
    </row>
    <row r="730" spans="17:18" x14ac:dyDescent="0.15">
      <c r="Q730" s="9">
        <v>4281</v>
      </c>
      <c r="R730" s="9" t="s">
        <v>127</v>
      </c>
    </row>
    <row r="731" spans="17:18" x14ac:dyDescent="0.15">
      <c r="Q731" s="9">
        <v>4291</v>
      </c>
      <c r="R731" s="9" t="s">
        <v>128</v>
      </c>
    </row>
    <row r="732" spans="17:18" x14ac:dyDescent="0.15">
      <c r="Q732" s="9">
        <v>4291</v>
      </c>
      <c r="R732" s="9" t="s">
        <v>128</v>
      </c>
    </row>
    <row r="733" spans="17:18" x14ac:dyDescent="0.15">
      <c r="Q733" s="9">
        <v>4293</v>
      </c>
      <c r="R733" s="9" t="s">
        <v>129</v>
      </c>
    </row>
    <row r="734" spans="17:18" x14ac:dyDescent="0.15">
      <c r="Q734" s="9">
        <v>4293</v>
      </c>
      <c r="R734" s="9" t="s">
        <v>129</v>
      </c>
    </row>
    <row r="735" spans="17:18" x14ac:dyDescent="0.15">
      <c r="Q735" s="9">
        <v>4295</v>
      </c>
      <c r="R735" s="9" t="s">
        <v>575</v>
      </c>
    </row>
    <row r="736" spans="17:18" x14ac:dyDescent="0.15">
      <c r="Q736" s="9">
        <v>4295</v>
      </c>
      <c r="R736" s="9" t="s">
        <v>575</v>
      </c>
    </row>
    <row r="737" spans="17:18" x14ac:dyDescent="0.15">
      <c r="Q737" s="9">
        <v>4296</v>
      </c>
      <c r="R737" s="9" t="s">
        <v>130</v>
      </c>
    </row>
    <row r="738" spans="17:18" x14ac:dyDescent="0.15">
      <c r="Q738" s="9">
        <v>4296</v>
      </c>
      <c r="R738" s="9" t="s">
        <v>130</v>
      </c>
    </row>
    <row r="739" spans="17:18" x14ac:dyDescent="0.15">
      <c r="Q739" s="9">
        <v>4300</v>
      </c>
      <c r="R739" s="9" t="s">
        <v>131</v>
      </c>
    </row>
    <row r="740" spans="17:18" x14ac:dyDescent="0.15">
      <c r="Q740" s="9">
        <v>4305</v>
      </c>
      <c r="R740" s="9" t="s">
        <v>523</v>
      </c>
    </row>
    <row r="741" spans="17:18" x14ac:dyDescent="0.15">
      <c r="Q741" s="9">
        <v>4320</v>
      </c>
      <c r="R741" s="9" t="s">
        <v>132</v>
      </c>
    </row>
    <row r="742" spans="17:18" x14ac:dyDescent="0.15">
      <c r="Q742" s="9">
        <v>4320</v>
      </c>
      <c r="R742" s="9" t="s">
        <v>132</v>
      </c>
    </row>
    <row r="743" spans="17:18" x14ac:dyDescent="0.15">
      <c r="Q743" s="9">
        <v>4320</v>
      </c>
      <c r="R743" s="9" t="s">
        <v>132</v>
      </c>
    </row>
    <row r="744" spans="17:18" x14ac:dyDescent="0.15">
      <c r="Q744" s="9">
        <v>4330</v>
      </c>
      <c r="R744" s="9" t="s">
        <v>133</v>
      </c>
    </row>
    <row r="745" spans="17:18" x14ac:dyDescent="0.15">
      <c r="Q745" s="9">
        <v>4330</v>
      </c>
      <c r="R745" s="9" t="s">
        <v>133</v>
      </c>
    </row>
    <row r="746" spans="17:18" x14ac:dyDescent="0.15">
      <c r="Q746" s="9">
        <v>4330</v>
      </c>
      <c r="R746" s="9" t="s">
        <v>133</v>
      </c>
    </row>
    <row r="747" spans="17:18" x14ac:dyDescent="0.15">
      <c r="Q747" s="9">
        <v>4340</v>
      </c>
      <c r="R747" s="9" t="s">
        <v>134</v>
      </c>
    </row>
    <row r="748" spans="17:18" x14ac:dyDescent="0.15">
      <c r="Q748" s="9">
        <v>4340</v>
      </c>
      <c r="R748" s="9" t="s">
        <v>134</v>
      </c>
    </row>
    <row r="749" spans="17:18" x14ac:dyDescent="0.15">
      <c r="Q749" s="9">
        <v>4350</v>
      </c>
      <c r="R749" s="9" t="s">
        <v>135</v>
      </c>
    </row>
    <row r="750" spans="17:18" x14ac:dyDescent="0.15">
      <c r="Q750" s="9">
        <v>4360</v>
      </c>
      <c r="R750" s="9" t="s">
        <v>576</v>
      </c>
    </row>
    <row r="751" spans="17:18" x14ac:dyDescent="0.15">
      <c r="Q751" s="9">
        <v>4360</v>
      </c>
      <c r="R751" s="9" t="s">
        <v>576</v>
      </c>
    </row>
    <row r="752" spans="17:18" x14ac:dyDescent="0.15">
      <c r="Q752" s="9">
        <v>4370</v>
      </c>
      <c r="R752" s="9" t="s">
        <v>577</v>
      </c>
    </row>
    <row r="753" spans="17:18" x14ac:dyDescent="0.15">
      <c r="Q753" s="9">
        <v>4370</v>
      </c>
      <c r="R753" s="9" t="s">
        <v>577</v>
      </c>
    </row>
    <row r="754" spans="17:18" x14ac:dyDescent="0.15">
      <c r="Q754" s="9">
        <v>4370</v>
      </c>
      <c r="R754" s="9" t="s">
        <v>577</v>
      </c>
    </row>
    <row r="755" spans="17:18" x14ac:dyDescent="0.15">
      <c r="Q755" s="9">
        <v>4390</v>
      </c>
      <c r="R755" s="9" t="s">
        <v>136</v>
      </c>
    </row>
    <row r="756" spans="17:18" x14ac:dyDescent="0.15">
      <c r="Q756" s="9">
        <v>4400</v>
      </c>
      <c r="R756" s="9" t="s">
        <v>137</v>
      </c>
    </row>
    <row r="757" spans="17:18" x14ac:dyDescent="0.15">
      <c r="Q757" s="9">
        <v>4420</v>
      </c>
      <c r="R757" s="9" t="s">
        <v>578</v>
      </c>
    </row>
    <row r="758" spans="17:18" x14ac:dyDescent="0.15">
      <c r="Q758" s="9">
        <v>4440</v>
      </c>
      <c r="R758" s="9" t="s">
        <v>138</v>
      </c>
    </row>
    <row r="759" spans="17:18" x14ac:dyDescent="0.15">
      <c r="Q759" s="9">
        <v>4450</v>
      </c>
      <c r="R759" s="9" t="s">
        <v>139</v>
      </c>
    </row>
    <row r="760" spans="17:18" x14ac:dyDescent="0.15">
      <c r="Q760" s="9">
        <v>4450</v>
      </c>
      <c r="R760" s="9" t="s">
        <v>139</v>
      </c>
    </row>
    <row r="761" spans="17:18" x14ac:dyDescent="0.15">
      <c r="Q761" s="9">
        <v>4460</v>
      </c>
      <c r="R761" s="9" t="s">
        <v>140</v>
      </c>
    </row>
    <row r="762" spans="17:18" x14ac:dyDescent="0.15">
      <c r="Q762" s="9">
        <v>4460</v>
      </c>
      <c r="R762" s="9" t="s">
        <v>140</v>
      </c>
    </row>
    <row r="763" spans="17:18" x14ac:dyDescent="0.15">
      <c r="Q763" s="9">
        <v>4470</v>
      </c>
      <c r="R763" s="9" t="s">
        <v>141</v>
      </c>
    </row>
    <row r="764" spans="17:18" x14ac:dyDescent="0.15">
      <c r="Q764" s="9">
        <v>4470</v>
      </c>
      <c r="R764" s="9" t="s">
        <v>141</v>
      </c>
    </row>
    <row r="765" spans="17:18" x14ac:dyDescent="0.15">
      <c r="Q765" s="9">
        <v>4480</v>
      </c>
      <c r="R765" s="9" t="s">
        <v>579</v>
      </c>
    </row>
    <row r="766" spans="17:18" x14ac:dyDescent="0.15">
      <c r="Q766" s="9">
        <v>4490</v>
      </c>
      <c r="R766" s="9" t="s">
        <v>524</v>
      </c>
    </row>
    <row r="767" spans="17:18" x14ac:dyDescent="0.15">
      <c r="Q767" s="9">
        <v>4500</v>
      </c>
      <c r="R767" s="9" t="s">
        <v>142</v>
      </c>
    </row>
    <row r="768" spans="17:18" x14ac:dyDescent="0.15">
      <c r="Q768" s="9">
        <v>4520</v>
      </c>
      <c r="R768" s="9" t="s">
        <v>143</v>
      </c>
    </row>
    <row r="769" spans="17:18" x14ac:dyDescent="0.15">
      <c r="Q769" s="9">
        <v>4532</v>
      </c>
      <c r="R769" s="9" t="s">
        <v>144</v>
      </c>
    </row>
    <row r="770" spans="17:18" x14ac:dyDescent="0.15">
      <c r="Q770" s="9">
        <v>4534</v>
      </c>
      <c r="R770" s="9" t="s">
        <v>145</v>
      </c>
    </row>
    <row r="771" spans="17:18" x14ac:dyDescent="0.15">
      <c r="Q771" s="9">
        <v>4534</v>
      </c>
      <c r="R771" s="9" t="s">
        <v>145</v>
      </c>
    </row>
    <row r="772" spans="17:18" x14ac:dyDescent="0.15">
      <c r="Q772" s="9">
        <v>4540</v>
      </c>
      <c r="R772" s="9" t="s">
        <v>146</v>
      </c>
    </row>
    <row r="773" spans="17:18" x14ac:dyDescent="0.15">
      <c r="Q773" s="9">
        <v>4550</v>
      </c>
      <c r="R773" s="9" t="s">
        <v>147</v>
      </c>
    </row>
    <row r="774" spans="17:18" x14ac:dyDescent="0.15">
      <c r="Q774" s="9">
        <v>4560</v>
      </c>
      <c r="R774" s="9" t="s">
        <v>148</v>
      </c>
    </row>
    <row r="775" spans="17:18" x14ac:dyDescent="0.15">
      <c r="Q775" s="9">
        <v>4571</v>
      </c>
      <c r="R775" s="9" t="s">
        <v>149</v>
      </c>
    </row>
    <row r="776" spans="17:18" x14ac:dyDescent="0.15">
      <c r="Q776" s="9">
        <v>4572</v>
      </c>
      <c r="R776" s="9" t="s">
        <v>150</v>
      </c>
    </row>
    <row r="777" spans="17:18" x14ac:dyDescent="0.15">
      <c r="Q777" s="9">
        <v>4573</v>
      </c>
      <c r="R777" s="9" t="s">
        <v>151</v>
      </c>
    </row>
    <row r="778" spans="17:18" x14ac:dyDescent="0.15">
      <c r="Q778" s="9">
        <v>4581</v>
      </c>
      <c r="R778" s="9" t="s">
        <v>152</v>
      </c>
    </row>
    <row r="779" spans="17:18" x14ac:dyDescent="0.15">
      <c r="Q779" s="9">
        <v>4583</v>
      </c>
      <c r="R779" s="9" t="s">
        <v>153</v>
      </c>
    </row>
    <row r="780" spans="17:18" x14ac:dyDescent="0.15">
      <c r="Q780" s="9">
        <v>4591</v>
      </c>
      <c r="R780" s="9" t="s">
        <v>154</v>
      </c>
    </row>
    <row r="781" spans="17:18" x14ac:dyDescent="0.15">
      <c r="Q781" s="9">
        <v>4591</v>
      </c>
      <c r="R781" s="9" t="s">
        <v>154</v>
      </c>
    </row>
    <row r="782" spans="17:18" x14ac:dyDescent="0.15">
      <c r="Q782" s="9">
        <v>4592</v>
      </c>
      <c r="R782" s="9" t="s">
        <v>155</v>
      </c>
    </row>
    <row r="783" spans="17:18" x14ac:dyDescent="0.15">
      <c r="Q783" s="9">
        <v>4593</v>
      </c>
      <c r="R783" s="9" t="s">
        <v>156</v>
      </c>
    </row>
    <row r="784" spans="17:18" x14ac:dyDescent="0.15">
      <c r="Q784" s="9">
        <v>4600</v>
      </c>
      <c r="R784" s="9" t="s">
        <v>157</v>
      </c>
    </row>
    <row r="785" spans="17:18" x14ac:dyDescent="0.15">
      <c r="Q785" s="9">
        <v>4600</v>
      </c>
      <c r="R785" s="9" t="s">
        <v>157</v>
      </c>
    </row>
    <row r="786" spans="17:18" x14ac:dyDescent="0.15">
      <c r="Q786" s="9">
        <v>4600</v>
      </c>
      <c r="R786" s="9" t="s">
        <v>157</v>
      </c>
    </row>
    <row r="787" spans="17:18" x14ac:dyDescent="0.15">
      <c r="Q787" s="9">
        <v>4621</v>
      </c>
      <c r="R787" s="9" t="s">
        <v>580</v>
      </c>
    </row>
    <row r="788" spans="17:18" x14ac:dyDescent="0.15">
      <c r="Q788" s="9">
        <v>4622</v>
      </c>
      <c r="R788" s="9" t="s">
        <v>158</v>
      </c>
    </row>
    <row r="789" spans="17:18" x14ac:dyDescent="0.15">
      <c r="Q789" s="9">
        <v>4622</v>
      </c>
      <c r="R789" s="9" t="s">
        <v>158</v>
      </c>
    </row>
    <row r="790" spans="17:18" x14ac:dyDescent="0.15">
      <c r="Q790" s="9">
        <v>4623</v>
      </c>
      <c r="R790" s="9" t="s">
        <v>159</v>
      </c>
    </row>
    <row r="791" spans="17:18" x14ac:dyDescent="0.15">
      <c r="Q791" s="9">
        <v>4623</v>
      </c>
      <c r="R791" s="9" t="s">
        <v>159</v>
      </c>
    </row>
    <row r="792" spans="17:18" x14ac:dyDescent="0.15">
      <c r="Q792" s="9">
        <v>4623</v>
      </c>
      <c r="R792" s="9" t="s">
        <v>159</v>
      </c>
    </row>
    <row r="793" spans="17:18" x14ac:dyDescent="0.15">
      <c r="Q793" s="9">
        <v>4632</v>
      </c>
      <c r="R793" s="9" t="s">
        <v>160</v>
      </c>
    </row>
    <row r="794" spans="17:18" x14ac:dyDescent="0.15">
      <c r="Q794" s="9">
        <v>4640</v>
      </c>
      <c r="R794" s="9" t="s">
        <v>525</v>
      </c>
    </row>
    <row r="795" spans="17:18" x14ac:dyDescent="0.15">
      <c r="Q795" s="9">
        <v>4640</v>
      </c>
      <c r="R795" s="9" t="s">
        <v>525</v>
      </c>
    </row>
    <row r="796" spans="17:18" x14ac:dyDescent="0.15">
      <c r="Q796" s="9">
        <v>4652</v>
      </c>
      <c r="R796" s="9" t="s">
        <v>161</v>
      </c>
    </row>
    <row r="797" spans="17:18" x14ac:dyDescent="0.15">
      <c r="Q797" s="9">
        <v>4652</v>
      </c>
      <c r="R797" s="9" t="s">
        <v>161</v>
      </c>
    </row>
    <row r="798" spans="17:18" x14ac:dyDescent="0.15">
      <c r="Q798" s="9">
        <v>4653</v>
      </c>
      <c r="R798" s="9" t="s">
        <v>162</v>
      </c>
    </row>
    <row r="799" spans="17:18" x14ac:dyDescent="0.15">
      <c r="Q799" s="9">
        <v>4653</v>
      </c>
      <c r="R799" s="9" t="s">
        <v>162</v>
      </c>
    </row>
    <row r="800" spans="17:18" x14ac:dyDescent="0.15">
      <c r="Q800" s="9">
        <v>4654</v>
      </c>
      <c r="R800" s="9" t="s">
        <v>526</v>
      </c>
    </row>
    <row r="801" spans="17:18" x14ac:dyDescent="0.15">
      <c r="Q801" s="9">
        <v>4660</v>
      </c>
      <c r="R801" s="9" t="s">
        <v>581</v>
      </c>
    </row>
    <row r="802" spans="17:18" x14ac:dyDescent="0.15">
      <c r="Q802" s="9">
        <v>4671</v>
      </c>
      <c r="R802" s="9" t="s">
        <v>582</v>
      </c>
    </row>
    <row r="803" spans="17:18" x14ac:dyDescent="0.15">
      <c r="Q803" s="9">
        <v>4672</v>
      </c>
      <c r="R803" s="9" t="s">
        <v>163</v>
      </c>
    </row>
    <row r="804" spans="17:18" x14ac:dyDescent="0.15">
      <c r="Q804" s="9">
        <v>4673</v>
      </c>
      <c r="R804" s="9" t="s">
        <v>583</v>
      </c>
    </row>
    <row r="805" spans="17:18" x14ac:dyDescent="0.15">
      <c r="Q805" s="9">
        <v>4681</v>
      </c>
      <c r="R805" s="9" t="s">
        <v>164</v>
      </c>
    </row>
    <row r="806" spans="17:18" x14ac:dyDescent="0.15">
      <c r="Q806" s="9">
        <v>4682</v>
      </c>
      <c r="R806" s="9" t="s">
        <v>165</v>
      </c>
    </row>
    <row r="807" spans="17:18" x14ac:dyDescent="0.15">
      <c r="Q807" s="9">
        <v>4682</v>
      </c>
      <c r="R807" s="9" t="s">
        <v>165</v>
      </c>
    </row>
    <row r="808" spans="17:18" x14ac:dyDescent="0.15">
      <c r="Q808" s="9">
        <v>4682</v>
      </c>
      <c r="R808" s="9" t="s">
        <v>165</v>
      </c>
    </row>
    <row r="809" spans="17:18" x14ac:dyDescent="0.15">
      <c r="Q809" s="9">
        <v>4683</v>
      </c>
      <c r="R809" s="9" t="s">
        <v>166</v>
      </c>
    </row>
    <row r="810" spans="17:18" x14ac:dyDescent="0.15">
      <c r="Q810" s="9">
        <v>4683</v>
      </c>
      <c r="R810" s="9" t="s">
        <v>166</v>
      </c>
    </row>
    <row r="811" spans="17:18" x14ac:dyDescent="0.15">
      <c r="Q811" s="9">
        <v>4684</v>
      </c>
      <c r="R811" s="9" t="s">
        <v>527</v>
      </c>
    </row>
    <row r="812" spans="17:18" x14ac:dyDescent="0.15">
      <c r="Q812" s="9">
        <v>4684</v>
      </c>
      <c r="R812" s="9" t="s">
        <v>527</v>
      </c>
    </row>
    <row r="813" spans="17:18" x14ac:dyDescent="0.15">
      <c r="Q813" s="9">
        <v>4690</v>
      </c>
      <c r="R813" s="9" t="s">
        <v>167</v>
      </c>
    </row>
    <row r="814" spans="17:18" x14ac:dyDescent="0.15">
      <c r="Q814" s="9">
        <v>4690</v>
      </c>
      <c r="R814" s="9" t="s">
        <v>167</v>
      </c>
    </row>
    <row r="815" spans="17:18" x14ac:dyDescent="0.15">
      <c r="Q815" s="9">
        <v>4690</v>
      </c>
      <c r="R815" s="9" t="s">
        <v>167</v>
      </c>
    </row>
    <row r="816" spans="17:18" x14ac:dyDescent="0.15">
      <c r="Q816" s="9">
        <v>4700</v>
      </c>
      <c r="R816" s="9" t="s">
        <v>584</v>
      </c>
    </row>
    <row r="817" spans="17:18" x14ac:dyDescent="0.15">
      <c r="Q817" s="9">
        <v>4720</v>
      </c>
      <c r="R817" s="9" t="s">
        <v>585</v>
      </c>
    </row>
    <row r="818" spans="17:18" x14ac:dyDescent="0.15">
      <c r="Q818" s="9">
        <v>4733</v>
      </c>
      <c r="R818" s="9" t="s">
        <v>168</v>
      </c>
    </row>
    <row r="819" spans="17:18" x14ac:dyDescent="0.15">
      <c r="Q819" s="9">
        <v>4733</v>
      </c>
      <c r="R819" s="9" t="s">
        <v>168</v>
      </c>
    </row>
    <row r="820" spans="17:18" x14ac:dyDescent="0.15">
      <c r="Q820" s="9">
        <v>4733</v>
      </c>
      <c r="R820" s="9" t="s">
        <v>168</v>
      </c>
    </row>
    <row r="821" spans="17:18" x14ac:dyDescent="0.15">
      <c r="Q821" s="9">
        <v>4735</v>
      </c>
      <c r="R821" s="9" t="s">
        <v>169</v>
      </c>
    </row>
    <row r="822" spans="17:18" x14ac:dyDescent="0.15">
      <c r="Q822" s="9">
        <v>4736</v>
      </c>
      <c r="R822" s="9" t="s">
        <v>170</v>
      </c>
    </row>
    <row r="823" spans="17:18" x14ac:dyDescent="0.15">
      <c r="Q823" s="9">
        <v>4750</v>
      </c>
      <c r="R823" s="9" t="s">
        <v>171</v>
      </c>
    </row>
    <row r="824" spans="17:18" x14ac:dyDescent="0.15">
      <c r="Q824" s="9">
        <v>4750</v>
      </c>
      <c r="R824" s="9" t="s">
        <v>171</v>
      </c>
    </row>
    <row r="825" spans="17:18" x14ac:dyDescent="0.15">
      <c r="Q825" s="9">
        <v>4760</v>
      </c>
      <c r="R825" s="9" t="s">
        <v>172</v>
      </c>
    </row>
    <row r="826" spans="17:18" x14ac:dyDescent="0.15">
      <c r="Q826" s="9">
        <v>4771</v>
      </c>
      <c r="R826" s="9" t="s">
        <v>173</v>
      </c>
    </row>
    <row r="827" spans="17:18" x14ac:dyDescent="0.15">
      <c r="Q827" s="9">
        <v>4772</v>
      </c>
      <c r="R827" s="9" t="s">
        <v>174</v>
      </c>
    </row>
    <row r="828" spans="17:18" x14ac:dyDescent="0.15">
      <c r="Q828" s="9">
        <v>4773</v>
      </c>
      <c r="R828" s="9" t="s">
        <v>586</v>
      </c>
    </row>
    <row r="829" spans="17:18" x14ac:dyDescent="0.15">
      <c r="Q829" s="9">
        <v>4780</v>
      </c>
      <c r="R829" s="9" t="s">
        <v>587</v>
      </c>
    </row>
    <row r="830" spans="17:18" x14ac:dyDescent="0.15">
      <c r="Q830" s="9">
        <v>4791</v>
      </c>
      <c r="R830" s="9" t="s">
        <v>175</v>
      </c>
    </row>
    <row r="831" spans="17:18" x14ac:dyDescent="0.15">
      <c r="Q831" s="9">
        <v>4792</v>
      </c>
      <c r="R831" s="9" t="s">
        <v>176</v>
      </c>
    </row>
    <row r="832" spans="17:18" x14ac:dyDescent="0.15">
      <c r="Q832" s="9">
        <v>4793</v>
      </c>
      <c r="R832" s="9" t="s">
        <v>177</v>
      </c>
    </row>
    <row r="833" spans="17:18" x14ac:dyDescent="0.15">
      <c r="Q833" s="9">
        <v>4800</v>
      </c>
      <c r="R833" s="9" t="s">
        <v>178</v>
      </c>
    </row>
    <row r="834" spans="17:18" x14ac:dyDescent="0.15">
      <c r="Q834" s="9">
        <v>4840</v>
      </c>
      <c r="R834" s="9" t="s">
        <v>179</v>
      </c>
    </row>
    <row r="835" spans="17:18" x14ac:dyDescent="0.15">
      <c r="Q835" s="9">
        <v>4850</v>
      </c>
      <c r="R835" s="9" t="s">
        <v>588</v>
      </c>
    </row>
    <row r="836" spans="17:18" x14ac:dyDescent="0.15">
      <c r="Q836" s="9">
        <v>4862</v>
      </c>
      <c r="R836" s="9" t="s">
        <v>180</v>
      </c>
    </row>
    <row r="837" spans="17:18" x14ac:dyDescent="0.15">
      <c r="Q837" s="9">
        <v>4863</v>
      </c>
      <c r="R837" s="9" t="s">
        <v>589</v>
      </c>
    </row>
    <row r="838" spans="17:18" x14ac:dyDescent="0.15">
      <c r="Q838" s="9">
        <v>4871</v>
      </c>
      <c r="R838" s="9" t="s">
        <v>181</v>
      </c>
    </row>
    <row r="839" spans="17:18" x14ac:dyDescent="0.15">
      <c r="Q839" s="9">
        <v>4872</v>
      </c>
      <c r="R839" s="9" t="s">
        <v>590</v>
      </c>
    </row>
    <row r="840" spans="17:18" x14ac:dyDescent="0.15">
      <c r="Q840" s="9">
        <v>4873</v>
      </c>
      <c r="R840" s="9" t="s">
        <v>182</v>
      </c>
    </row>
    <row r="841" spans="17:18" x14ac:dyDescent="0.15">
      <c r="Q841" s="9">
        <v>4874</v>
      </c>
      <c r="R841" s="9" t="s">
        <v>183</v>
      </c>
    </row>
    <row r="842" spans="17:18" x14ac:dyDescent="0.15">
      <c r="Q842" s="9">
        <v>4880</v>
      </c>
      <c r="R842" s="9" t="s">
        <v>591</v>
      </c>
    </row>
    <row r="843" spans="17:18" x14ac:dyDescent="0.15">
      <c r="Q843" s="9">
        <v>4891</v>
      </c>
      <c r="R843" s="9" t="s">
        <v>184</v>
      </c>
    </row>
    <row r="844" spans="17:18" x14ac:dyDescent="0.15">
      <c r="Q844" s="9">
        <v>4892</v>
      </c>
      <c r="R844" s="9" t="s">
        <v>185</v>
      </c>
    </row>
    <row r="845" spans="17:18" x14ac:dyDescent="0.15">
      <c r="Q845" s="9">
        <v>4894</v>
      </c>
      <c r="R845" s="9" t="s">
        <v>592</v>
      </c>
    </row>
    <row r="846" spans="17:18" x14ac:dyDescent="0.15">
      <c r="Q846" s="9">
        <v>4894</v>
      </c>
      <c r="R846" s="9" t="s">
        <v>592</v>
      </c>
    </row>
    <row r="847" spans="17:18" x14ac:dyDescent="0.15">
      <c r="Q847" s="9">
        <v>4895</v>
      </c>
      <c r="R847" s="9" t="s">
        <v>186</v>
      </c>
    </row>
    <row r="848" spans="17:18" x14ac:dyDescent="0.15">
      <c r="Q848" s="9">
        <v>4900</v>
      </c>
      <c r="R848" s="9" t="s">
        <v>187</v>
      </c>
    </row>
    <row r="849" spans="17:18" x14ac:dyDescent="0.15">
      <c r="Q849" s="9">
        <v>4912</v>
      </c>
      <c r="R849" s="9" t="s">
        <v>188</v>
      </c>
    </row>
    <row r="850" spans="17:18" x14ac:dyDescent="0.15">
      <c r="Q850" s="9">
        <v>4913</v>
      </c>
      <c r="R850" s="9" t="s">
        <v>189</v>
      </c>
    </row>
    <row r="851" spans="17:18" x14ac:dyDescent="0.15">
      <c r="Q851" s="9">
        <v>4920</v>
      </c>
      <c r="R851" s="9" t="s">
        <v>593</v>
      </c>
    </row>
    <row r="852" spans="17:18" x14ac:dyDescent="0.15">
      <c r="Q852" s="9">
        <v>4930</v>
      </c>
      <c r="R852" s="9" t="s">
        <v>190</v>
      </c>
    </row>
    <row r="853" spans="17:18" x14ac:dyDescent="0.15">
      <c r="Q853" s="9">
        <v>4930</v>
      </c>
      <c r="R853" s="9" t="s">
        <v>190</v>
      </c>
    </row>
    <row r="854" spans="17:18" x14ac:dyDescent="0.15">
      <c r="Q854" s="9">
        <v>4941</v>
      </c>
      <c r="R854" s="9" t="s">
        <v>191</v>
      </c>
    </row>
    <row r="855" spans="17:18" x14ac:dyDescent="0.15">
      <c r="Q855" s="9">
        <v>4942</v>
      </c>
      <c r="R855" s="9" t="s">
        <v>528</v>
      </c>
    </row>
    <row r="856" spans="17:18" x14ac:dyDescent="0.15">
      <c r="Q856" s="9">
        <v>4943</v>
      </c>
      <c r="R856" s="9" t="s">
        <v>192</v>
      </c>
    </row>
    <row r="857" spans="17:18" x14ac:dyDescent="0.15">
      <c r="Q857" s="9">
        <v>4944</v>
      </c>
      <c r="R857" s="9" t="s">
        <v>193</v>
      </c>
    </row>
    <row r="858" spans="17:18" x14ac:dyDescent="0.15">
      <c r="Q858" s="9">
        <v>4945</v>
      </c>
      <c r="R858" s="9" t="s">
        <v>529</v>
      </c>
    </row>
    <row r="859" spans="17:18" x14ac:dyDescent="0.15">
      <c r="Q859" s="9">
        <v>4951</v>
      </c>
      <c r="R859" s="9" t="s">
        <v>194</v>
      </c>
    </row>
    <row r="860" spans="17:18" x14ac:dyDescent="0.15">
      <c r="Q860" s="9">
        <v>4952</v>
      </c>
      <c r="R860" s="9" t="s">
        <v>594</v>
      </c>
    </row>
    <row r="861" spans="17:18" x14ac:dyDescent="0.15">
      <c r="Q861" s="9">
        <v>4953</v>
      </c>
      <c r="R861" s="9" t="s">
        <v>595</v>
      </c>
    </row>
    <row r="862" spans="17:18" x14ac:dyDescent="0.15">
      <c r="Q862" s="9">
        <v>4960</v>
      </c>
      <c r="R862" s="9" t="s">
        <v>195</v>
      </c>
    </row>
    <row r="863" spans="17:18" x14ac:dyDescent="0.15">
      <c r="Q863" s="9">
        <v>4970</v>
      </c>
      <c r="R863" s="9" t="s">
        <v>196</v>
      </c>
    </row>
    <row r="864" spans="17:18" x14ac:dyDescent="0.15">
      <c r="Q864" s="9">
        <v>4983</v>
      </c>
      <c r="R864" s="9" t="s">
        <v>197</v>
      </c>
    </row>
    <row r="865" spans="17:18" x14ac:dyDescent="0.15">
      <c r="Q865" s="9">
        <v>4990</v>
      </c>
      <c r="R865" s="9" t="s">
        <v>198</v>
      </c>
    </row>
    <row r="866" spans="17:18" x14ac:dyDescent="0.15">
      <c r="Q866" s="9">
        <v>5000</v>
      </c>
      <c r="R866" s="9" t="s">
        <v>199</v>
      </c>
    </row>
    <row r="867" spans="17:18" x14ac:dyDescent="0.15">
      <c r="Q867" s="9">
        <v>5200</v>
      </c>
      <c r="R867" s="9" t="s">
        <v>200</v>
      </c>
    </row>
    <row r="868" spans="17:18" x14ac:dyDescent="0.15">
      <c r="Q868" s="9">
        <v>5210</v>
      </c>
      <c r="R868" s="9" t="s">
        <v>201</v>
      </c>
    </row>
    <row r="869" spans="17:18" x14ac:dyDescent="0.15">
      <c r="Q869" s="9">
        <v>5220</v>
      </c>
      <c r="R869" s="9" t="s">
        <v>202</v>
      </c>
    </row>
    <row r="870" spans="17:18" x14ac:dyDescent="0.15">
      <c r="Q870" s="9">
        <v>5230</v>
      </c>
      <c r="R870" s="9" t="s">
        <v>203</v>
      </c>
    </row>
    <row r="871" spans="17:18" x14ac:dyDescent="0.15">
      <c r="Q871" s="9">
        <v>5240</v>
      </c>
      <c r="R871" s="9" t="s">
        <v>204</v>
      </c>
    </row>
    <row r="872" spans="17:18" x14ac:dyDescent="0.15">
      <c r="Q872" s="9">
        <v>5250</v>
      </c>
      <c r="R872" s="9" t="s">
        <v>205</v>
      </c>
    </row>
    <row r="873" spans="17:18" x14ac:dyDescent="0.15">
      <c r="Q873" s="9">
        <v>5260</v>
      </c>
      <c r="R873" s="9" t="s">
        <v>206</v>
      </c>
    </row>
    <row r="874" spans="17:18" x14ac:dyDescent="0.15">
      <c r="Q874" s="9">
        <v>5270</v>
      </c>
      <c r="R874" s="9" t="s">
        <v>207</v>
      </c>
    </row>
    <row r="875" spans="17:18" x14ac:dyDescent="0.15">
      <c r="Q875" s="9">
        <v>5270</v>
      </c>
      <c r="R875" s="9" t="s">
        <v>207</v>
      </c>
    </row>
    <row r="876" spans="17:18" x14ac:dyDescent="0.15">
      <c r="Q876" s="9">
        <v>5290</v>
      </c>
      <c r="R876" s="9" t="s">
        <v>208</v>
      </c>
    </row>
    <row r="877" spans="17:18" x14ac:dyDescent="0.15">
      <c r="Q877" s="9">
        <v>5300</v>
      </c>
      <c r="R877" s="9" t="s">
        <v>209</v>
      </c>
    </row>
    <row r="878" spans="17:18" x14ac:dyDescent="0.15">
      <c r="Q878" s="9">
        <v>5320</v>
      </c>
      <c r="R878" s="9" t="s">
        <v>530</v>
      </c>
    </row>
    <row r="879" spans="17:18" x14ac:dyDescent="0.15">
      <c r="Q879" s="9">
        <v>5330</v>
      </c>
      <c r="R879" s="9" t="s">
        <v>210</v>
      </c>
    </row>
    <row r="880" spans="17:18" x14ac:dyDescent="0.15">
      <c r="Q880" s="9">
        <v>5330</v>
      </c>
      <c r="R880" s="9" t="s">
        <v>210</v>
      </c>
    </row>
    <row r="881" spans="17:18" x14ac:dyDescent="0.15">
      <c r="Q881" s="9">
        <v>5350</v>
      </c>
      <c r="R881" s="9" t="s">
        <v>211</v>
      </c>
    </row>
    <row r="882" spans="17:18" x14ac:dyDescent="0.15">
      <c r="Q882" s="9">
        <v>5370</v>
      </c>
      <c r="R882" s="9" t="s">
        <v>212</v>
      </c>
    </row>
    <row r="883" spans="17:18" x14ac:dyDescent="0.15">
      <c r="Q883" s="9">
        <v>5380</v>
      </c>
      <c r="R883" s="9" t="s">
        <v>213</v>
      </c>
    </row>
    <row r="884" spans="17:18" x14ac:dyDescent="0.15">
      <c r="Q884" s="9">
        <v>5390</v>
      </c>
      <c r="R884" s="9" t="s">
        <v>214</v>
      </c>
    </row>
    <row r="885" spans="17:18" x14ac:dyDescent="0.15">
      <c r="Q885" s="9">
        <v>5400</v>
      </c>
      <c r="R885" s="9" t="s">
        <v>215</v>
      </c>
    </row>
    <row r="886" spans="17:18" x14ac:dyDescent="0.15">
      <c r="Q886" s="9">
        <v>5450</v>
      </c>
      <c r="R886" s="9" t="s">
        <v>216</v>
      </c>
    </row>
    <row r="887" spans="17:18" x14ac:dyDescent="0.15">
      <c r="Q887" s="9">
        <v>5462</v>
      </c>
      <c r="R887" s="9" t="s">
        <v>217</v>
      </c>
    </row>
    <row r="888" spans="17:18" x14ac:dyDescent="0.15">
      <c r="Q888" s="9">
        <v>5463</v>
      </c>
      <c r="R888" s="9" t="s">
        <v>218</v>
      </c>
    </row>
    <row r="889" spans="17:18" x14ac:dyDescent="0.15">
      <c r="Q889" s="9">
        <v>5464</v>
      </c>
      <c r="R889" s="9" t="s">
        <v>531</v>
      </c>
    </row>
    <row r="890" spans="17:18" x14ac:dyDescent="0.15">
      <c r="Q890" s="9">
        <v>5466</v>
      </c>
      <c r="R890" s="9" t="s">
        <v>219</v>
      </c>
    </row>
    <row r="891" spans="17:18" x14ac:dyDescent="0.15">
      <c r="Q891" s="9">
        <v>5471</v>
      </c>
      <c r="R891" s="9" t="s">
        <v>220</v>
      </c>
    </row>
    <row r="892" spans="17:18" x14ac:dyDescent="0.15">
      <c r="Q892" s="9">
        <v>5474</v>
      </c>
      <c r="R892" s="9" t="s">
        <v>221</v>
      </c>
    </row>
    <row r="893" spans="17:18" x14ac:dyDescent="0.15">
      <c r="Q893" s="9">
        <v>5485</v>
      </c>
      <c r="R893" s="9" t="s">
        <v>222</v>
      </c>
    </row>
    <row r="894" spans="17:18" x14ac:dyDescent="0.15">
      <c r="Q894" s="9">
        <v>5491</v>
      </c>
      <c r="R894" s="9" t="s">
        <v>596</v>
      </c>
    </row>
    <row r="895" spans="17:18" x14ac:dyDescent="0.15">
      <c r="Q895" s="9">
        <v>5491</v>
      </c>
      <c r="R895" s="9" t="s">
        <v>596</v>
      </c>
    </row>
    <row r="896" spans="17:18" x14ac:dyDescent="0.15">
      <c r="Q896" s="9">
        <v>5492</v>
      </c>
      <c r="R896" s="9" t="s">
        <v>223</v>
      </c>
    </row>
    <row r="897" spans="17:18" x14ac:dyDescent="0.15">
      <c r="Q897" s="9">
        <v>5492</v>
      </c>
      <c r="R897" s="9" t="s">
        <v>223</v>
      </c>
    </row>
    <row r="898" spans="17:18" x14ac:dyDescent="0.15">
      <c r="Q898" s="9">
        <v>5492</v>
      </c>
      <c r="R898" s="9" t="s">
        <v>223</v>
      </c>
    </row>
    <row r="899" spans="17:18" x14ac:dyDescent="0.15">
      <c r="Q899" s="9">
        <v>5500</v>
      </c>
      <c r="R899" s="9" t="s">
        <v>224</v>
      </c>
    </row>
    <row r="900" spans="17:18" x14ac:dyDescent="0.15">
      <c r="Q900" s="9">
        <v>5540</v>
      </c>
      <c r="R900" s="9" t="s">
        <v>225</v>
      </c>
    </row>
    <row r="901" spans="17:18" x14ac:dyDescent="0.15">
      <c r="Q901" s="9">
        <v>5540</v>
      </c>
      <c r="R901" s="9" t="s">
        <v>225</v>
      </c>
    </row>
    <row r="902" spans="17:18" x14ac:dyDescent="0.15">
      <c r="Q902" s="9">
        <v>5550</v>
      </c>
      <c r="R902" s="9" t="s">
        <v>226</v>
      </c>
    </row>
    <row r="903" spans="17:18" x14ac:dyDescent="0.15">
      <c r="Q903" s="9">
        <v>5550</v>
      </c>
      <c r="R903" s="9" t="s">
        <v>226</v>
      </c>
    </row>
    <row r="904" spans="17:18" x14ac:dyDescent="0.15">
      <c r="Q904" s="9">
        <v>5550</v>
      </c>
      <c r="R904" s="9" t="s">
        <v>226</v>
      </c>
    </row>
    <row r="905" spans="17:18" x14ac:dyDescent="0.15">
      <c r="Q905" s="9">
        <v>5560</v>
      </c>
      <c r="R905" s="9" t="s">
        <v>227</v>
      </c>
    </row>
    <row r="906" spans="17:18" x14ac:dyDescent="0.15">
      <c r="Q906" s="9">
        <v>5560</v>
      </c>
      <c r="R906" s="9" t="s">
        <v>227</v>
      </c>
    </row>
    <row r="907" spans="17:18" x14ac:dyDescent="0.15">
      <c r="Q907" s="9">
        <v>5560</v>
      </c>
      <c r="R907" s="9" t="s">
        <v>227</v>
      </c>
    </row>
    <row r="908" spans="17:18" x14ac:dyDescent="0.15">
      <c r="Q908" s="9">
        <v>5580</v>
      </c>
      <c r="R908" s="9" t="s">
        <v>228</v>
      </c>
    </row>
    <row r="909" spans="17:18" x14ac:dyDescent="0.15">
      <c r="Q909" s="9">
        <v>5591</v>
      </c>
      <c r="R909" s="9" t="s">
        <v>597</v>
      </c>
    </row>
    <row r="910" spans="17:18" x14ac:dyDescent="0.15">
      <c r="Q910" s="9">
        <v>5592</v>
      </c>
      <c r="R910" s="9" t="s">
        <v>229</v>
      </c>
    </row>
    <row r="911" spans="17:18" x14ac:dyDescent="0.15">
      <c r="Q911" s="9">
        <v>5600</v>
      </c>
      <c r="R911" s="9" t="s">
        <v>230</v>
      </c>
    </row>
    <row r="912" spans="17:18" x14ac:dyDescent="0.15">
      <c r="Q912" s="9">
        <v>5601</v>
      </c>
      <c r="R912" s="9" t="s">
        <v>532</v>
      </c>
    </row>
    <row r="913" spans="17:18" x14ac:dyDescent="0.15">
      <c r="Q913" s="9">
        <v>5602</v>
      </c>
      <c r="R913" s="9" t="s">
        <v>533</v>
      </c>
    </row>
    <row r="914" spans="17:18" x14ac:dyDescent="0.15">
      <c r="Q914" s="9">
        <v>5603</v>
      </c>
      <c r="R914" s="9" t="s">
        <v>534</v>
      </c>
    </row>
    <row r="915" spans="17:18" x14ac:dyDescent="0.15">
      <c r="Q915" s="9">
        <v>5610</v>
      </c>
      <c r="R915" s="9" t="s">
        <v>231</v>
      </c>
    </row>
    <row r="916" spans="17:18" x14ac:dyDescent="0.15">
      <c r="Q916" s="9">
        <v>5620</v>
      </c>
      <c r="R916" s="9" t="s">
        <v>232</v>
      </c>
    </row>
    <row r="917" spans="17:18" x14ac:dyDescent="0.15">
      <c r="Q917" s="9">
        <v>5631</v>
      </c>
      <c r="R917" s="9" t="s">
        <v>233</v>
      </c>
    </row>
    <row r="918" spans="17:18" x14ac:dyDescent="0.15">
      <c r="Q918" s="9">
        <v>5642</v>
      </c>
      <c r="R918" s="9" t="s">
        <v>234</v>
      </c>
    </row>
    <row r="919" spans="17:18" x14ac:dyDescent="0.15">
      <c r="Q919" s="9">
        <v>5642</v>
      </c>
      <c r="R919" s="9" t="s">
        <v>234</v>
      </c>
    </row>
    <row r="920" spans="17:18" x14ac:dyDescent="0.15">
      <c r="Q920" s="9">
        <v>5672</v>
      </c>
      <c r="R920" s="9" t="s">
        <v>235</v>
      </c>
    </row>
    <row r="921" spans="17:18" x14ac:dyDescent="0.15">
      <c r="Q921" s="9">
        <v>5683</v>
      </c>
      <c r="R921" s="9" t="s">
        <v>236</v>
      </c>
    </row>
    <row r="922" spans="17:18" x14ac:dyDescent="0.15">
      <c r="Q922" s="9">
        <v>5690</v>
      </c>
      <c r="R922" s="9" t="s">
        <v>237</v>
      </c>
    </row>
    <row r="923" spans="17:18" x14ac:dyDescent="0.15">
      <c r="Q923" s="9">
        <v>5700</v>
      </c>
      <c r="R923" s="9" t="s">
        <v>238</v>
      </c>
    </row>
    <row r="924" spans="17:18" x14ac:dyDescent="0.15">
      <c r="Q924" s="9">
        <v>5750</v>
      </c>
      <c r="R924" s="9" t="s">
        <v>239</v>
      </c>
    </row>
    <row r="925" spans="17:18" x14ac:dyDescent="0.15">
      <c r="Q925" s="9">
        <v>5762</v>
      </c>
      <c r="R925" s="9" t="s">
        <v>598</v>
      </c>
    </row>
    <row r="926" spans="17:18" x14ac:dyDescent="0.15">
      <c r="Q926" s="9">
        <v>5762</v>
      </c>
      <c r="R926" s="9" t="s">
        <v>598</v>
      </c>
    </row>
    <row r="927" spans="17:18" x14ac:dyDescent="0.15">
      <c r="Q927" s="9">
        <v>5771</v>
      </c>
      <c r="R927" s="9" t="s">
        <v>599</v>
      </c>
    </row>
    <row r="928" spans="17:18" x14ac:dyDescent="0.15">
      <c r="Q928" s="9">
        <v>5771</v>
      </c>
      <c r="R928" s="9" t="s">
        <v>599</v>
      </c>
    </row>
    <row r="929" spans="17:18" x14ac:dyDescent="0.15">
      <c r="Q929" s="9">
        <v>5772</v>
      </c>
      <c r="R929" s="9" t="s">
        <v>240</v>
      </c>
    </row>
    <row r="930" spans="17:18" x14ac:dyDescent="0.15">
      <c r="Q930" s="9">
        <v>5772</v>
      </c>
      <c r="R930" s="9" t="s">
        <v>240</v>
      </c>
    </row>
    <row r="931" spans="17:18" x14ac:dyDescent="0.15">
      <c r="Q931" s="9">
        <v>5792</v>
      </c>
      <c r="R931" s="9" t="s">
        <v>241</v>
      </c>
    </row>
    <row r="932" spans="17:18" x14ac:dyDescent="0.15">
      <c r="Q932" s="9">
        <v>5800</v>
      </c>
      <c r="R932" s="9" t="s">
        <v>242</v>
      </c>
    </row>
    <row r="933" spans="17:18" x14ac:dyDescent="0.15">
      <c r="Q933" s="9">
        <v>5853</v>
      </c>
      <c r="R933" s="9" t="s">
        <v>243</v>
      </c>
    </row>
    <row r="934" spans="17:18" x14ac:dyDescent="0.15">
      <c r="Q934" s="9">
        <v>5853</v>
      </c>
      <c r="R934" s="9" t="s">
        <v>243</v>
      </c>
    </row>
    <row r="935" spans="17:18" x14ac:dyDescent="0.15">
      <c r="Q935" s="9">
        <v>5854</v>
      </c>
      <c r="R935" s="9" t="s">
        <v>244</v>
      </c>
    </row>
    <row r="936" spans="17:18" x14ac:dyDescent="0.15">
      <c r="Q936" s="9">
        <v>5854</v>
      </c>
      <c r="R936" s="9" t="s">
        <v>244</v>
      </c>
    </row>
    <row r="937" spans="17:18" x14ac:dyDescent="0.15">
      <c r="Q937" s="9">
        <v>5856</v>
      </c>
      <c r="R937" s="9" t="s">
        <v>245</v>
      </c>
    </row>
    <row r="938" spans="17:18" x14ac:dyDescent="0.15">
      <c r="Q938" s="9">
        <v>5863</v>
      </c>
      <c r="R938" s="9" t="s">
        <v>246</v>
      </c>
    </row>
    <row r="939" spans="17:18" x14ac:dyDescent="0.15">
      <c r="Q939" s="9">
        <v>5863</v>
      </c>
      <c r="R939" s="9" t="s">
        <v>246</v>
      </c>
    </row>
    <row r="940" spans="17:18" x14ac:dyDescent="0.15">
      <c r="Q940" s="9">
        <v>5871</v>
      </c>
      <c r="R940" s="9" t="s">
        <v>247</v>
      </c>
    </row>
    <row r="941" spans="17:18" x14ac:dyDescent="0.15">
      <c r="Q941" s="9">
        <v>5874</v>
      </c>
      <c r="R941" s="9" t="s">
        <v>248</v>
      </c>
    </row>
    <row r="942" spans="17:18" x14ac:dyDescent="0.15">
      <c r="Q942" s="9">
        <v>5874</v>
      </c>
      <c r="R942" s="9" t="s">
        <v>248</v>
      </c>
    </row>
    <row r="943" spans="17:18" x14ac:dyDescent="0.15">
      <c r="Q943" s="9">
        <v>5881</v>
      </c>
      <c r="R943" s="9" t="s">
        <v>249</v>
      </c>
    </row>
    <row r="944" spans="17:18" x14ac:dyDescent="0.15">
      <c r="Q944" s="9">
        <v>5882</v>
      </c>
      <c r="R944" s="9" t="s">
        <v>600</v>
      </c>
    </row>
    <row r="945" spans="17:18" x14ac:dyDescent="0.15">
      <c r="Q945" s="9">
        <v>5883</v>
      </c>
      <c r="R945" s="9" t="s">
        <v>250</v>
      </c>
    </row>
    <row r="946" spans="17:18" x14ac:dyDescent="0.15">
      <c r="Q946" s="9">
        <v>5884</v>
      </c>
      <c r="R946" s="9" t="s">
        <v>251</v>
      </c>
    </row>
    <row r="947" spans="17:18" x14ac:dyDescent="0.15">
      <c r="Q947" s="9">
        <v>5892</v>
      </c>
      <c r="R947" s="9" t="s">
        <v>535</v>
      </c>
    </row>
    <row r="948" spans="17:18" x14ac:dyDescent="0.15">
      <c r="Q948" s="9">
        <v>5900</v>
      </c>
      <c r="R948" s="9" t="s">
        <v>252</v>
      </c>
    </row>
    <row r="949" spans="17:18" x14ac:dyDescent="0.15">
      <c r="Q949" s="9">
        <v>5932</v>
      </c>
      <c r="R949" s="9" t="s">
        <v>253</v>
      </c>
    </row>
    <row r="950" spans="17:18" x14ac:dyDescent="0.15">
      <c r="Q950" s="9">
        <v>5935</v>
      </c>
      <c r="R950" s="9" t="s">
        <v>254</v>
      </c>
    </row>
    <row r="951" spans="17:18" x14ac:dyDescent="0.15">
      <c r="Q951" s="9">
        <v>5943</v>
      </c>
      <c r="R951" s="9" t="s">
        <v>601</v>
      </c>
    </row>
    <row r="952" spans="17:18" x14ac:dyDescent="0.15">
      <c r="Q952" s="9">
        <v>5953</v>
      </c>
      <c r="R952" s="9" t="s">
        <v>255</v>
      </c>
    </row>
    <row r="953" spans="17:18" x14ac:dyDescent="0.15">
      <c r="Q953" s="9">
        <v>5960</v>
      </c>
      <c r="R953" s="9" t="s">
        <v>602</v>
      </c>
    </row>
    <row r="954" spans="17:18" x14ac:dyDescent="0.15">
      <c r="Q954" s="9">
        <v>5965</v>
      </c>
      <c r="R954" s="9" t="s">
        <v>536</v>
      </c>
    </row>
    <row r="955" spans="17:18" x14ac:dyDescent="0.15">
      <c r="Q955" s="9">
        <v>5970</v>
      </c>
      <c r="R955" s="9" t="s">
        <v>256</v>
      </c>
    </row>
    <row r="956" spans="17:18" x14ac:dyDescent="0.15">
      <c r="Q956" s="9">
        <v>5985</v>
      </c>
      <c r="R956" s="9" t="s">
        <v>257</v>
      </c>
    </row>
    <row r="957" spans="17:18" x14ac:dyDescent="0.15">
      <c r="Q957" s="9">
        <v>6000</v>
      </c>
      <c r="R957" s="9" t="s">
        <v>258</v>
      </c>
    </row>
    <row r="958" spans="17:18" x14ac:dyDescent="0.15">
      <c r="Q958" s="9">
        <v>6040</v>
      </c>
      <c r="R958" s="9" t="s">
        <v>259</v>
      </c>
    </row>
    <row r="959" spans="17:18" x14ac:dyDescent="0.15">
      <c r="Q959" s="9">
        <v>6040</v>
      </c>
      <c r="R959" s="9" t="s">
        <v>259</v>
      </c>
    </row>
    <row r="960" spans="17:18" x14ac:dyDescent="0.15">
      <c r="Q960" s="9">
        <v>6051</v>
      </c>
      <c r="R960" s="9" t="s">
        <v>260</v>
      </c>
    </row>
    <row r="961" spans="17:18" x14ac:dyDescent="0.15">
      <c r="Q961" s="9">
        <v>6052</v>
      </c>
      <c r="R961" s="9" t="s">
        <v>261</v>
      </c>
    </row>
    <row r="962" spans="17:18" x14ac:dyDescent="0.15">
      <c r="Q962" s="9">
        <v>6052</v>
      </c>
      <c r="R962" s="9" t="s">
        <v>261</v>
      </c>
    </row>
    <row r="963" spans="17:18" x14ac:dyDescent="0.15">
      <c r="Q963" s="9">
        <v>6064</v>
      </c>
      <c r="R963" s="9" t="s">
        <v>262</v>
      </c>
    </row>
    <row r="964" spans="17:18" x14ac:dyDescent="0.15">
      <c r="Q964" s="9">
        <v>6070</v>
      </c>
      <c r="R964" s="9" t="s">
        <v>603</v>
      </c>
    </row>
    <row r="965" spans="17:18" x14ac:dyDescent="0.15">
      <c r="Q965" s="9">
        <v>6070</v>
      </c>
      <c r="R965" s="9" t="s">
        <v>603</v>
      </c>
    </row>
    <row r="966" spans="17:18" x14ac:dyDescent="0.15">
      <c r="Q966" s="9">
        <v>6091</v>
      </c>
      <c r="R966" s="9" t="s">
        <v>263</v>
      </c>
    </row>
    <row r="967" spans="17:18" x14ac:dyDescent="0.15">
      <c r="Q967" s="9">
        <v>6092</v>
      </c>
      <c r="R967" s="9" t="s">
        <v>604</v>
      </c>
    </row>
    <row r="968" spans="17:18" x14ac:dyDescent="0.15">
      <c r="Q968" s="9">
        <v>6093</v>
      </c>
      <c r="R968" s="9" t="s">
        <v>264</v>
      </c>
    </row>
    <row r="969" spans="17:18" x14ac:dyDescent="0.15">
      <c r="Q969" s="9">
        <v>6094</v>
      </c>
      <c r="R969" s="9" t="s">
        <v>265</v>
      </c>
    </row>
    <row r="970" spans="17:18" x14ac:dyDescent="0.15">
      <c r="Q970" s="9">
        <v>6094</v>
      </c>
      <c r="R970" s="9" t="s">
        <v>265</v>
      </c>
    </row>
    <row r="971" spans="17:18" x14ac:dyDescent="0.15">
      <c r="Q971" s="9">
        <v>6100</v>
      </c>
      <c r="R971" s="9" t="s">
        <v>266</v>
      </c>
    </row>
    <row r="972" spans="17:18" x14ac:dyDescent="0.15">
      <c r="Q972" s="9">
        <v>6100</v>
      </c>
      <c r="R972" s="9" t="s">
        <v>266</v>
      </c>
    </row>
    <row r="973" spans="17:18" x14ac:dyDescent="0.15">
      <c r="Q973" s="9">
        <v>6200</v>
      </c>
      <c r="R973" s="9" t="s">
        <v>267</v>
      </c>
    </row>
    <row r="974" spans="17:18" x14ac:dyDescent="0.15">
      <c r="Q974" s="9">
        <v>6210</v>
      </c>
      <c r="R974" s="9" t="s">
        <v>537</v>
      </c>
    </row>
    <row r="975" spans="17:18" x14ac:dyDescent="0.15">
      <c r="Q975" s="9">
        <v>6230</v>
      </c>
      <c r="R975" s="9" t="s">
        <v>268</v>
      </c>
    </row>
    <row r="976" spans="17:18" x14ac:dyDescent="0.15">
      <c r="Q976" s="9">
        <v>6240</v>
      </c>
      <c r="R976" s="9" t="s">
        <v>605</v>
      </c>
    </row>
    <row r="977" spans="17:18" x14ac:dyDescent="0.15">
      <c r="Q977" s="9">
        <v>6261</v>
      </c>
      <c r="R977" s="9" t="s">
        <v>269</v>
      </c>
    </row>
    <row r="978" spans="17:18" x14ac:dyDescent="0.15">
      <c r="Q978" s="9">
        <v>6270</v>
      </c>
      <c r="R978" s="9" t="s">
        <v>270</v>
      </c>
    </row>
    <row r="979" spans="17:18" x14ac:dyDescent="0.15">
      <c r="Q979" s="9">
        <v>6280</v>
      </c>
      <c r="R979" s="9" t="s">
        <v>271</v>
      </c>
    </row>
    <row r="980" spans="17:18" x14ac:dyDescent="0.15">
      <c r="Q980" s="9">
        <v>6300</v>
      </c>
      <c r="R980" s="9" t="s">
        <v>606</v>
      </c>
    </row>
    <row r="981" spans="17:18" x14ac:dyDescent="0.15">
      <c r="Q981" s="9">
        <v>6310</v>
      </c>
      <c r="R981" s="9" t="s">
        <v>272</v>
      </c>
    </row>
    <row r="982" spans="17:18" x14ac:dyDescent="0.15">
      <c r="Q982" s="9">
        <v>6320</v>
      </c>
      <c r="R982" s="9" t="s">
        <v>273</v>
      </c>
    </row>
    <row r="983" spans="17:18" x14ac:dyDescent="0.15">
      <c r="Q983" s="9">
        <v>6330</v>
      </c>
      <c r="R983" s="9" t="s">
        <v>274</v>
      </c>
    </row>
    <row r="984" spans="17:18" x14ac:dyDescent="0.15">
      <c r="Q984" s="9">
        <v>6340</v>
      </c>
      <c r="R984" s="9" t="s">
        <v>275</v>
      </c>
    </row>
    <row r="985" spans="17:18" x14ac:dyDescent="0.15">
      <c r="Q985" s="9">
        <v>6360</v>
      </c>
      <c r="R985" s="9" t="s">
        <v>276</v>
      </c>
    </row>
    <row r="986" spans="17:18" x14ac:dyDescent="0.15">
      <c r="Q986" s="9">
        <v>6372</v>
      </c>
      <c r="R986" s="9" t="s">
        <v>277</v>
      </c>
    </row>
    <row r="987" spans="17:18" x14ac:dyDescent="0.15">
      <c r="Q987" s="9">
        <v>6392</v>
      </c>
      <c r="R987" s="9" t="s">
        <v>278</v>
      </c>
    </row>
    <row r="988" spans="17:18" x14ac:dyDescent="0.15">
      <c r="Q988" s="9">
        <v>6400</v>
      </c>
      <c r="R988" s="9" t="s">
        <v>279</v>
      </c>
    </row>
    <row r="989" spans="17:18" x14ac:dyDescent="0.15">
      <c r="Q989" s="9">
        <v>6430</v>
      </c>
      <c r="R989" s="9" t="s">
        <v>280</v>
      </c>
    </row>
    <row r="990" spans="17:18" x14ac:dyDescent="0.15">
      <c r="Q990" s="9">
        <v>6430</v>
      </c>
      <c r="R990" s="9" t="s">
        <v>280</v>
      </c>
    </row>
    <row r="991" spans="17:18" x14ac:dyDescent="0.15">
      <c r="Q991" s="9">
        <v>6440</v>
      </c>
      <c r="R991" s="9" t="s">
        <v>607</v>
      </c>
    </row>
    <row r="992" spans="17:18" x14ac:dyDescent="0.15">
      <c r="Q992" s="9">
        <v>6470</v>
      </c>
      <c r="R992" s="9" t="s">
        <v>281</v>
      </c>
    </row>
    <row r="993" spans="17:18" x14ac:dyDescent="0.15">
      <c r="Q993" s="9">
        <v>6500</v>
      </c>
      <c r="R993" s="9" t="s">
        <v>282</v>
      </c>
    </row>
    <row r="994" spans="17:18" x14ac:dyDescent="0.15">
      <c r="Q994" s="9">
        <v>6510</v>
      </c>
      <c r="R994" s="9" t="s">
        <v>283</v>
      </c>
    </row>
    <row r="995" spans="17:18" x14ac:dyDescent="0.15">
      <c r="Q995" s="9">
        <v>6520</v>
      </c>
      <c r="R995" s="9" t="s">
        <v>284</v>
      </c>
    </row>
    <row r="996" spans="17:18" x14ac:dyDescent="0.15">
      <c r="Q996" s="9">
        <v>6520</v>
      </c>
      <c r="R996" s="9" t="s">
        <v>284</v>
      </c>
    </row>
    <row r="997" spans="17:18" x14ac:dyDescent="0.15">
      <c r="Q997" s="9">
        <v>6534</v>
      </c>
      <c r="R997" s="9" t="s">
        <v>538</v>
      </c>
    </row>
    <row r="998" spans="17:18" x14ac:dyDescent="0.15">
      <c r="Q998" s="9">
        <v>6534</v>
      </c>
      <c r="R998" s="9" t="s">
        <v>538</v>
      </c>
    </row>
    <row r="999" spans="17:18" x14ac:dyDescent="0.15">
      <c r="Q999" s="9">
        <v>6534</v>
      </c>
      <c r="R999" s="9" t="s">
        <v>538</v>
      </c>
    </row>
    <row r="1000" spans="17:18" x14ac:dyDescent="0.15">
      <c r="Q1000" s="9">
        <v>6535</v>
      </c>
      <c r="R1000" s="9" t="s">
        <v>285</v>
      </c>
    </row>
    <row r="1001" spans="17:18" x14ac:dyDescent="0.15">
      <c r="Q1001" s="9">
        <v>6541</v>
      </c>
      <c r="R1001" s="9" t="s">
        <v>286</v>
      </c>
    </row>
    <row r="1002" spans="17:18" x14ac:dyDescent="0.15">
      <c r="Q1002" s="9">
        <v>6541</v>
      </c>
      <c r="R1002" s="9" t="s">
        <v>286</v>
      </c>
    </row>
    <row r="1003" spans="17:18" x14ac:dyDescent="0.15">
      <c r="Q1003" s="9">
        <v>6560</v>
      </c>
      <c r="R1003" s="9" t="s">
        <v>608</v>
      </c>
    </row>
    <row r="1004" spans="17:18" x14ac:dyDescent="0.15">
      <c r="Q1004" s="9">
        <v>6560</v>
      </c>
      <c r="R1004" s="9" t="s">
        <v>608</v>
      </c>
    </row>
    <row r="1005" spans="17:18" x14ac:dyDescent="0.15">
      <c r="Q1005" s="9">
        <v>6580</v>
      </c>
      <c r="R1005" s="9" t="s">
        <v>287</v>
      </c>
    </row>
    <row r="1006" spans="17:18" x14ac:dyDescent="0.15">
      <c r="Q1006" s="9">
        <v>6600</v>
      </c>
      <c r="R1006" s="9" t="s">
        <v>288</v>
      </c>
    </row>
    <row r="1007" spans="17:18" x14ac:dyDescent="0.15">
      <c r="Q1007" s="9">
        <v>6621</v>
      </c>
      <c r="R1007" s="9" t="s">
        <v>609</v>
      </c>
    </row>
    <row r="1008" spans="17:18" x14ac:dyDescent="0.15">
      <c r="Q1008" s="9">
        <v>6622</v>
      </c>
      <c r="R1008" s="9" t="s">
        <v>289</v>
      </c>
    </row>
    <row r="1009" spans="17:18" x14ac:dyDescent="0.15">
      <c r="Q1009" s="9">
        <v>6623</v>
      </c>
      <c r="R1009" s="9" t="s">
        <v>290</v>
      </c>
    </row>
    <row r="1010" spans="17:18" x14ac:dyDescent="0.15">
      <c r="Q1010" s="9">
        <v>6623</v>
      </c>
      <c r="R1010" s="9" t="s">
        <v>290</v>
      </c>
    </row>
    <row r="1011" spans="17:18" x14ac:dyDescent="0.15">
      <c r="Q1011" s="9">
        <v>6623</v>
      </c>
      <c r="R1011" s="9" t="s">
        <v>290</v>
      </c>
    </row>
    <row r="1012" spans="17:18" x14ac:dyDescent="0.15">
      <c r="Q1012" s="9">
        <v>6630</v>
      </c>
      <c r="R1012" s="9" t="s">
        <v>291</v>
      </c>
    </row>
    <row r="1013" spans="17:18" x14ac:dyDescent="0.15">
      <c r="Q1013" s="9">
        <v>6630</v>
      </c>
      <c r="R1013" s="9" t="s">
        <v>291</v>
      </c>
    </row>
    <row r="1014" spans="17:18" x14ac:dyDescent="0.15">
      <c r="Q1014" s="9">
        <v>6640</v>
      </c>
      <c r="R1014" s="9" t="s">
        <v>292</v>
      </c>
    </row>
    <row r="1015" spans="17:18" x14ac:dyDescent="0.15">
      <c r="Q1015" s="9">
        <v>6650</v>
      </c>
      <c r="R1015" s="9" t="s">
        <v>293</v>
      </c>
    </row>
    <row r="1016" spans="17:18" x14ac:dyDescent="0.15">
      <c r="Q1016" s="9">
        <v>6660</v>
      </c>
      <c r="R1016" s="9" t="s">
        <v>294</v>
      </c>
    </row>
    <row r="1017" spans="17:18" x14ac:dyDescent="0.15">
      <c r="Q1017" s="9">
        <v>6670</v>
      </c>
      <c r="R1017" s="9" t="s">
        <v>610</v>
      </c>
    </row>
    <row r="1018" spans="17:18" x14ac:dyDescent="0.15">
      <c r="Q1018" s="9">
        <v>6670</v>
      </c>
      <c r="R1018" s="9" t="s">
        <v>610</v>
      </c>
    </row>
    <row r="1019" spans="17:18" x14ac:dyDescent="0.15">
      <c r="Q1019" s="9">
        <v>6682</v>
      </c>
      <c r="R1019" s="9" t="s">
        <v>295</v>
      </c>
    </row>
    <row r="1020" spans="17:18" x14ac:dyDescent="0.15">
      <c r="Q1020" s="9">
        <v>6682</v>
      </c>
      <c r="R1020" s="9" t="s">
        <v>295</v>
      </c>
    </row>
    <row r="1021" spans="17:18" x14ac:dyDescent="0.15">
      <c r="Q1021" s="9">
        <v>6682</v>
      </c>
      <c r="R1021" s="9" t="s">
        <v>295</v>
      </c>
    </row>
    <row r="1022" spans="17:18" x14ac:dyDescent="0.15">
      <c r="Q1022" s="9">
        <v>6683</v>
      </c>
      <c r="R1022" s="9" t="s">
        <v>296</v>
      </c>
    </row>
    <row r="1023" spans="17:18" x14ac:dyDescent="0.15">
      <c r="Q1023" s="9">
        <v>6683</v>
      </c>
      <c r="R1023" s="9" t="s">
        <v>296</v>
      </c>
    </row>
    <row r="1024" spans="17:18" x14ac:dyDescent="0.15">
      <c r="Q1024" s="9">
        <v>6690</v>
      </c>
      <c r="R1024" s="9" t="s">
        <v>297</v>
      </c>
    </row>
    <row r="1025" spans="17:18" x14ac:dyDescent="0.15">
      <c r="Q1025" s="9">
        <v>6690</v>
      </c>
      <c r="R1025" s="9" t="s">
        <v>297</v>
      </c>
    </row>
    <row r="1026" spans="17:18" x14ac:dyDescent="0.15">
      <c r="Q1026" s="9">
        <v>6700</v>
      </c>
      <c r="R1026" s="9" t="s">
        <v>298</v>
      </c>
    </row>
    <row r="1027" spans="17:18" x14ac:dyDescent="0.15">
      <c r="Q1027" s="9">
        <v>6705</v>
      </c>
      <c r="R1027" s="9" t="s">
        <v>299</v>
      </c>
    </row>
    <row r="1028" spans="17:18" x14ac:dyDescent="0.15">
      <c r="Q1028" s="9">
        <v>6710</v>
      </c>
      <c r="R1028" s="9" t="s">
        <v>300</v>
      </c>
    </row>
    <row r="1029" spans="17:18" x14ac:dyDescent="0.15">
      <c r="Q1029" s="9">
        <v>6715</v>
      </c>
      <c r="R1029" s="9" t="s">
        <v>301</v>
      </c>
    </row>
    <row r="1030" spans="17:18" x14ac:dyDescent="0.15">
      <c r="Q1030" s="9">
        <v>6720</v>
      </c>
      <c r="R1030" s="9" t="s">
        <v>302</v>
      </c>
    </row>
    <row r="1031" spans="17:18" x14ac:dyDescent="0.15">
      <c r="Q1031" s="9">
        <v>6731</v>
      </c>
      <c r="R1031" s="9" t="s">
        <v>303</v>
      </c>
    </row>
    <row r="1032" spans="17:18" x14ac:dyDescent="0.15">
      <c r="Q1032" s="9">
        <v>6740</v>
      </c>
      <c r="R1032" s="9" t="s">
        <v>304</v>
      </c>
    </row>
    <row r="1033" spans="17:18" x14ac:dyDescent="0.15">
      <c r="Q1033" s="9">
        <v>6752</v>
      </c>
      <c r="R1033" s="9" t="s">
        <v>305</v>
      </c>
    </row>
    <row r="1034" spans="17:18" x14ac:dyDescent="0.15">
      <c r="Q1034" s="9">
        <v>6753</v>
      </c>
      <c r="R1034" s="9" t="s">
        <v>539</v>
      </c>
    </row>
    <row r="1035" spans="17:18" x14ac:dyDescent="0.15">
      <c r="Q1035" s="9">
        <v>6753</v>
      </c>
      <c r="R1035" s="9" t="s">
        <v>539</v>
      </c>
    </row>
    <row r="1036" spans="17:18" x14ac:dyDescent="0.15">
      <c r="Q1036" s="9">
        <v>6760</v>
      </c>
      <c r="R1036" s="9" t="s">
        <v>306</v>
      </c>
    </row>
    <row r="1037" spans="17:18" x14ac:dyDescent="0.15">
      <c r="Q1037" s="9">
        <v>6771</v>
      </c>
      <c r="R1037" s="9" t="s">
        <v>611</v>
      </c>
    </row>
    <row r="1038" spans="17:18" x14ac:dyDescent="0.15">
      <c r="Q1038" s="9">
        <v>6780</v>
      </c>
      <c r="R1038" s="9" t="s">
        <v>307</v>
      </c>
    </row>
    <row r="1039" spans="17:18" x14ac:dyDescent="0.15">
      <c r="Q1039" s="9">
        <v>6792</v>
      </c>
      <c r="R1039" s="9" t="s">
        <v>308</v>
      </c>
    </row>
    <row r="1040" spans="17:18" x14ac:dyDescent="0.15">
      <c r="Q1040" s="9">
        <v>6800</v>
      </c>
      <c r="R1040" s="9" t="s">
        <v>309</v>
      </c>
    </row>
    <row r="1041" spans="17:18" x14ac:dyDescent="0.15">
      <c r="Q1041" s="9">
        <v>6818</v>
      </c>
      <c r="R1041" s="9" t="s">
        <v>310</v>
      </c>
    </row>
    <row r="1042" spans="17:18" x14ac:dyDescent="0.15">
      <c r="Q1042" s="9">
        <v>6818</v>
      </c>
      <c r="R1042" s="9" t="s">
        <v>310</v>
      </c>
    </row>
    <row r="1043" spans="17:18" x14ac:dyDescent="0.15">
      <c r="Q1043" s="9">
        <v>6823</v>
      </c>
      <c r="R1043" s="9" t="s">
        <v>311</v>
      </c>
    </row>
    <row r="1044" spans="17:18" x14ac:dyDescent="0.15">
      <c r="Q1044" s="9">
        <v>6823</v>
      </c>
      <c r="R1044" s="9" t="s">
        <v>311</v>
      </c>
    </row>
    <row r="1045" spans="17:18" x14ac:dyDescent="0.15">
      <c r="Q1045" s="9">
        <v>6830</v>
      </c>
      <c r="R1045" s="9" t="s">
        <v>312</v>
      </c>
    </row>
    <row r="1046" spans="17:18" x14ac:dyDescent="0.15">
      <c r="Q1046" s="9">
        <v>6830</v>
      </c>
      <c r="R1046" s="9" t="s">
        <v>312</v>
      </c>
    </row>
    <row r="1047" spans="17:18" x14ac:dyDescent="0.15">
      <c r="Q1047" s="9">
        <v>6840</v>
      </c>
      <c r="R1047" s="9" t="s">
        <v>313</v>
      </c>
    </row>
    <row r="1048" spans="17:18" x14ac:dyDescent="0.15">
      <c r="Q1048" s="9">
        <v>6851</v>
      </c>
      <c r="R1048" s="9" t="s">
        <v>612</v>
      </c>
    </row>
    <row r="1049" spans="17:18" x14ac:dyDescent="0.15">
      <c r="Q1049" s="9">
        <v>6852</v>
      </c>
      <c r="R1049" s="9" t="s">
        <v>314</v>
      </c>
    </row>
    <row r="1050" spans="17:18" x14ac:dyDescent="0.15">
      <c r="Q1050" s="9">
        <v>6853</v>
      </c>
      <c r="R1050" s="9" t="s">
        <v>613</v>
      </c>
    </row>
    <row r="1051" spans="17:18" x14ac:dyDescent="0.15">
      <c r="Q1051" s="9">
        <v>6854</v>
      </c>
      <c r="R1051" s="9" t="s">
        <v>315</v>
      </c>
    </row>
    <row r="1052" spans="17:18" x14ac:dyDescent="0.15">
      <c r="Q1052" s="9">
        <v>6855</v>
      </c>
      <c r="R1052" s="9" t="s">
        <v>316</v>
      </c>
    </row>
    <row r="1053" spans="17:18" x14ac:dyDescent="0.15">
      <c r="Q1053" s="9">
        <v>6857</v>
      </c>
      <c r="R1053" s="9" t="s">
        <v>317</v>
      </c>
    </row>
    <row r="1054" spans="17:18" x14ac:dyDescent="0.15">
      <c r="Q1054" s="9">
        <v>6862</v>
      </c>
      <c r="R1054" s="9" t="s">
        <v>614</v>
      </c>
    </row>
    <row r="1055" spans="17:18" x14ac:dyDescent="0.15">
      <c r="Q1055" s="9">
        <v>6870</v>
      </c>
      <c r="R1055" s="9" t="s">
        <v>318</v>
      </c>
    </row>
    <row r="1056" spans="17:18" x14ac:dyDescent="0.15">
      <c r="Q1056" s="9">
        <v>6870</v>
      </c>
      <c r="R1056" s="9" t="s">
        <v>318</v>
      </c>
    </row>
    <row r="1057" spans="17:18" x14ac:dyDescent="0.15">
      <c r="Q1057" s="9">
        <v>6880</v>
      </c>
      <c r="R1057" s="9" t="s">
        <v>319</v>
      </c>
    </row>
    <row r="1058" spans="17:18" x14ac:dyDescent="0.15">
      <c r="Q1058" s="9">
        <v>6880</v>
      </c>
      <c r="R1058" s="9" t="s">
        <v>319</v>
      </c>
    </row>
    <row r="1059" spans="17:18" x14ac:dyDescent="0.15">
      <c r="Q1059" s="9">
        <v>6893</v>
      </c>
      <c r="R1059" s="9" t="s">
        <v>320</v>
      </c>
    </row>
    <row r="1060" spans="17:18" x14ac:dyDescent="0.15">
      <c r="Q1060" s="9">
        <v>6900</v>
      </c>
      <c r="R1060" s="9" t="s">
        <v>321</v>
      </c>
    </row>
    <row r="1061" spans="17:18" x14ac:dyDescent="0.15">
      <c r="Q1061" s="9">
        <v>6920</v>
      </c>
      <c r="R1061" s="9" t="s">
        <v>322</v>
      </c>
    </row>
    <row r="1062" spans="17:18" x14ac:dyDescent="0.15">
      <c r="Q1062" s="9">
        <v>6933</v>
      </c>
      <c r="R1062" s="9" t="s">
        <v>323</v>
      </c>
    </row>
    <row r="1063" spans="17:18" x14ac:dyDescent="0.15">
      <c r="Q1063" s="9">
        <v>6933</v>
      </c>
      <c r="R1063" s="9" t="s">
        <v>323</v>
      </c>
    </row>
    <row r="1064" spans="17:18" x14ac:dyDescent="0.15">
      <c r="Q1064" s="9">
        <v>6940</v>
      </c>
      <c r="R1064" s="9" t="s">
        <v>615</v>
      </c>
    </row>
    <row r="1065" spans="17:18" x14ac:dyDescent="0.15">
      <c r="Q1065" s="9">
        <v>6950</v>
      </c>
      <c r="R1065" s="9" t="s">
        <v>324</v>
      </c>
    </row>
    <row r="1066" spans="17:18" x14ac:dyDescent="0.15">
      <c r="Q1066" s="9">
        <v>6960</v>
      </c>
      <c r="R1066" s="9" t="s">
        <v>325</v>
      </c>
    </row>
    <row r="1067" spans="17:18" x14ac:dyDescent="0.15">
      <c r="Q1067" s="9">
        <v>6971</v>
      </c>
      <c r="R1067" s="9" t="s">
        <v>326</v>
      </c>
    </row>
    <row r="1068" spans="17:18" x14ac:dyDescent="0.15">
      <c r="Q1068" s="9">
        <v>6973</v>
      </c>
      <c r="R1068" s="9" t="s">
        <v>327</v>
      </c>
    </row>
    <row r="1069" spans="17:18" x14ac:dyDescent="0.15">
      <c r="Q1069" s="9">
        <v>6973</v>
      </c>
      <c r="R1069" s="9" t="s">
        <v>327</v>
      </c>
    </row>
    <row r="1070" spans="17:18" x14ac:dyDescent="0.15">
      <c r="Q1070" s="9">
        <v>6980</v>
      </c>
      <c r="R1070" s="9" t="s">
        <v>328</v>
      </c>
    </row>
    <row r="1071" spans="17:18" x14ac:dyDescent="0.15">
      <c r="Q1071" s="9">
        <v>6990</v>
      </c>
      <c r="R1071" s="9" t="s">
        <v>329</v>
      </c>
    </row>
    <row r="1072" spans="17:18" x14ac:dyDescent="0.15">
      <c r="Q1072" s="9">
        <v>6990</v>
      </c>
      <c r="R1072" s="9" t="s">
        <v>329</v>
      </c>
    </row>
    <row r="1073" spans="17:18" x14ac:dyDescent="0.15">
      <c r="Q1073" s="9">
        <v>6990</v>
      </c>
      <c r="R1073" s="9" t="s">
        <v>329</v>
      </c>
    </row>
    <row r="1074" spans="17:18" x14ac:dyDescent="0.15">
      <c r="Q1074" s="9">
        <v>6990</v>
      </c>
      <c r="R1074" s="9" t="s">
        <v>329</v>
      </c>
    </row>
    <row r="1075" spans="17:18" x14ac:dyDescent="0.15">
      <c r="Q1075" s="9">
        <v>7000</v>
      </c>
      <c r="R1075" s="9" t="s">
        <v>330</v>
      </c>
    </row>
    <row r="1076" spans="17:18" x14ac:dyDescent="0.15">
      <c r="Q1076" s="9">
        <v>7000</v>
      </c>
      <c r="R1076" s="9" t="s">
        <v>330</v>
      </c>
    </row>
    <row r="1077" spans="17:18" x14ac:dyDescent="0.15">
      <c r="Q1077" s="9">
        <v>7007</v>
      </c>
      <c r="R1077" s="9" t="s">
        <v>330</v>
      </c>
    </row>
    <row r="1078" spans="17:18" x14ac:dyDescent="0.15">
      <c r="Q1078" s="9">
        <v>7080</v>
      </c>
      <c r="R1078" s="9" t="s">
        <v>331</v>
      </c>
    </row>
    <row r="1079" spans="17:18" x14ac:dyDescent="0.15">
      <c r="Q1079" s="9">
        <v>7100</v>
      </c>
      <c r="R1079" s="9" t="s">
        <v>332</v>
      </c>
    </row>
    <row r="1080" spans="17:18" x14ac:dyDescent="0.15">
      <c r="Q1080" s="9">
        <v>7100</v>
      </c>
      <c r="R1080" s="9" t="s">
        <v>332</v>
      </c>
    </row>
    <row r="1081" spans="17:18" x14ac:dyDescent="0.15">
      <c r="Q1081" s="9">
        <v>7120</v>
      </c>
      <c r="R1081" s="9" t="s">
        <v>616</v>
      </c>
    </row>
    <row r="1082" spans="17:18" x14ac:dyDescent="0.15">
      <c r="Q1082" s="9">
        <v>7120</v>
      </c>
      <c r="R1082" s="9" t="s">
        <v>616</v>
      </c>
    </row>
    <row r="1083" spans="17:18" x14ac:dyDescent="0.15">
      <c r="Q1083" s="9">
        <v>7130</v>
      </c>
      <c r="R1083" s="9" t="s">
        <v>333</v>
      </c>
    </row>
    <row r="1084" spans="17:18" x14ac:dyDescent="0.15">
      <c r="Q1084" s="9">
        <v>7140</v>
      </c>
      <c r="R1084" s="9" t="s">
        <v>617</v>
      </c>
    </row>
    <row r="1085" spans="17:18" x14ac:dyDescent="0.15">
      <c r="Q1085" s="9">
        <v>7150</v>
      </c>
      <c r="R1085" s="9" t="s">
        <v>334</v>
      </c>
    </row>
    <row r="1086" spans="17:18" x14ac:dyDescent="0.15">
      <c r="Q1086" s="9">
        <v>7160</v>
      </c>
      <c r="R1086" s="9" t="s">
        <v>335</v>
      </c>
    </row>
    <row r="1087" spans="17:18" x14ac:dyDescent="0.15">
      <c r="Q1087" s="9">
        <v>7160</v>
      </c>
      <c r="R1087" s="9" t="s">
        <v>335</v>
      </c>
    </row>
    <row r="1088" spans="17:18" x14ac:dyDescent="0.15">
      <c r="Q1088" s="9">
        <v>7171</v>
      </c>
      <c r="R1088" s="9" t="s">
        <v>336</v>
      </c>
    </row>
    <row r="1089" spans="17:18" x14ac:dyDescent="0.15">
      <c r="Q1089" s="9">
        <v>7173</v>
      </c>
      <c r="R1089" s="9" t="s">
        <v>337</v>
      </c>
    </row>
    <row r="1090" spans="17:18" x14ac:dyDescent="0.15">
      <c r="Q1090" s="9">
        <v>7182</v>
      </c>
      <c r="R1090" s="9" t="s">
        <v>618</v>
      </c>
    </row>
    <row r="1091" spans="17:18" x14ac:dyDescent="0.15">
      <c r="Q1091" s="9">
        <v>7183</v>
      </c>
      <c r="R1091" s="9" t="s">
        <v>338</v>
      </c>
    </row>
    <row r="1092" spans="17:18" x14ac:dyDescent="0.15">
      <c r="Q1092" s="9">
        <v>7184</v>
      </c>
      <c r="R1092" s="9" t="s">
        <v>339</v>
      </c>
    </row>
    <row r="1093" spans="17:18" x14ac:dyDescent="0.15">
      <c r="Q1093" s="9">
        <v>7190</v>
      </c>
      <c r="R1093" s="9" t="s">
        <v>340</v>
      </c>
    </row>
    <row r="1094" spans="17:18" x14ac:dyDescent="0.15">
      <c r="Q1094" s="9">
        <v>7190</v>
      </c>
      <c r="R1094" s="9" t="s">
        <v>340</v>
      </c>
    </row>
    <row r="1095" spans="17:18" x14ac:dyDescent="0.15">
      <c r="Q1095" s="9">
        <v>7200</v>
      </c>
      <c r="R1095" s="9" t="s">
        <v>619</v>
      </c>
    </row>
    <row r="1096" spans="17:18" x14ac:dyDescent="0.15">
      <c r="Q1096" s="9">
        <v>7200</v>
      </c>
      <c r="R1096" s="9" t="s">
        <v>619</v>
      </c>
    </row>
    <row r="1097" spans="17:18" x14ac:dyDescent="0.15">
      <c r="Q1097" s="9">
        <v>7200</v>
      </c>
      <c r="R1097" s="9" t="s">
        <v>619</v>
      </c>
    </row>
    <row r="1098" spans="17:18" x14ac:dyDescent="0.15">
      <c r="Q1098" s="9">
        <v>7250</v>
      </c>
      <c r="R1098" s="9" t="s">
        <v>341</v>
      </c>
    </row>
    <row r="1099" spans="17:18" x14ac:dyDescent="0.15">
      <c r="Q1099" s="9">
        <v>7260</v>
      </c>
      <c r="R1099" s="9" t="s">
        <v>342</v>
      </c>
    </row>
    <row r="1100" spans="17:18" x14ac:dyDescent="0.15">
      <c r="Q1100" s="9">
        <v>7260</v>
      </c>
      <c r="R1100" s="9" t="s">
        <v>342</v>
      </c>
    </row>
    <row r="1101" spans="17:18" x14ac:dyDescent="0.15">
      <c r="Q1101" s="9">
        <v>7270</v>
      </c>
      <c r="R1101" s="9" t="s">
        <v>620</v>
      </c>
    </row>
    <row r="1102" spans="17:18" x14ac:dyDescent="0.15">
      <c r="Q1102" s="9">
        <v>7270</v>
      </c>
      <c r="R1102" s="9" t="s">
        <v>620</v>
      </c>
    </row>
    <row r="1103" spans="17:18" x14ac:dyDescent="0.15">
      <c r="Q1103" s="9">
        <v>7270</v>
      </c>
      <c r="R1103" s="9" t="s">
        <v>620</v>
      </c>
    </row>
    <row r="1104" spans="17:18" x14ac:dyDescent="0.15">
      <c r="Q1104" s="9">
        <v>7280</v>
      </c>
      <c r="R1104" s="9" t="s">
        <v>343</v>
      </c>
    </row>
    <row r="1105" spans="17:18" x14ac:dyDescent="0.15">
      <c r="Q1105" s="9">
        <v>7280</v>
      </c>
      <c r="R1105" s="9" t="s">
        <v>343</v>
      </c>
    </row>
    <row r="1106" spans="17:18" x14ac:dyDescent="0.15">
      <c r="Q1106" s="9">
        <v>7300</v>
      </c>
      <c r="R1106" s="9" t="s">
        <v>344</v>
      </c>
    </row>
    <row r="1107" spans="17:18" x14ac:dyDescent="0.15">
      <c r="Q1107" s="9">
        <v>7321</v>
      </c>
      <c r="R1107" s="9" t="s">
        <v>345</v>
      </c>
    </row>
    <row r="1108" spans="17:18" x14ac:dyDescent="0.15">
      <c r="Q1108" s="9">
        <v>7323</v>
      </c>
      <c r="R1108" s="9" t="s">
        <v>346</v>
      </c>
    </row>
    <row r="1109" spans="17:18" x14ac:dyDescent="0.15">
      <c r="Q1109" s="9">
        <v>7323</v>
      </c>
      <c r="R1109" s="9" t="s">
        <v>346</v>
      </c>
    </row>
    <row r="1110" spans="17:18" x14ac:dyDescent="0.15">
      <c r="Q1110" s="9">
        <v>7330</v>
      </c>
      <c r="R1110" s="9" t="s">
        <v>347</v>
      </c>
    </row>
    <row r="1111" spans="17:18" x14ac:dyDescent="0.15">
      <c r="Q1111" s="9">
        <v>7330</v>
      </c>
      <c r="R1111" s="9" t="s">
        <v>347</v>
      </c>
    </row>
    <row r="1112" spans="17:18" x14ac:dyDescent="0.15">
      <c r="Q1112" s="9">
        <v>7330</v>
      </c>
      <c r="R1112" s="9" t="s">
        <v>347</v>
      </c>
    </row>
    <row r="1113" spans="17:18" x14ac:dyDescent="0.15">
      <c r="Q1113" s="9">
        <v>7361</v>
      </c>
      <c r="R1113" s="9" t="s">
        <v>621</v>
      </c>
    </row>
    <row r="1114" spans="17:18" x14ac:dyDescent="0.15">
      <c r="Q1114" s="9">
        <v>7361</v>
      </c>
      <c r="R1114" s="9" t="s">
        <v>621</v>
      </c>
    </row>
    <row r="1115" spans="17:18" x14ac:dyDescent="0.15">
      <c r="Q1115" s="9">
        <v>7362</v>
      </c>
      <c r="R1115" s="9" t="s">
        <v>348</v>
      </c>
    </row>
    <row r="1116" spans="17:18" x14ac:dyDescent="0.15">
      <c r="Q1116" s="9">
        <v>7362</v>
      </c>
      <c r="R1116" s="9" t="s">
        <v>348</v>
      </c>
    </row>
    <row r="1117" spans="17:18" x14ac:dyDescent="0.15">
      <c r="Q1117" s="9">
        <v>7400</v>
      </c>
      <c r="R1117" s="9" t="s">
        <v>349</v>
      </c>
    </row>
    <row r="1118" spans="17:18" x14ac:dyDescent="0.15">
      <c r="Q1118" s="9">
        <v>7400</v>
      </c>
      <c r="R1118" s="9" t="s">
        <v>349</v>
      </c>
    </row>
    <row r="1119" spans="17:18" x14ac:dyDescent="0.15">
      <c r="Q1119" s="9">
        <v>7400</v>
      </c>
      <c r="R1119" s="9" t="s">
        <v>349</v>
      </c>
    </row>
    <row r="1120" spans="17:18" x14ac:dyDescent="0.15">
      <c r="Q1120" s="9">
        <v>7430</v>
      </c>
      <c r="R1120" s="9" t="s">
        <v>622</v>
      </c>
    </row>
    <row r="1121" spans="17:18" x14ac:dyDescent="0.15">
      <c r="Q1121" s="9">
        <v>7441</v>
      </c>
      <c r="R1121" s="9" t="s">
        <v>350</v>
      </c>
    </row>
    <row r="1122" spans="17:18" x14ac:dyDescent="0.15">
      <c r="Q1122" s="9">
        <v>7441</v>
      </c>
      <c r="R1122" s="9" t="s">
        <v>350</v>
      </c>
    </row>
    <row r="1123" spans="17:18" x14ac:dyDescent="0.15">
      <c r="Q1123" s="9">
        <v>7442</v>
      </c>
      <c r="R1123" s="9" t="s">
        <v>351</v>
      </c>
    </row>
    <row r="1124" spans="17:18" x14ac:dyDescent="0.15">
      <c r="Q1124" s="9">
        <v>7442</v>
      </c>
      <c r="R1124" s="9" t="s">
        <v>351</v>
      </c>
    </row>
    <row r="1125" spans="17:18" x14ac:dyDescent="0.15">
      <c r="Q1125" s="9">
        <v>7451</v>
      </c>
      <c r="R1125" s="9" t="s">
        <v>352</v>
      </c>
    </row>
    <row r="1126" spans="17:18" x14ac:dyDescent="0.15">
      <c r="Q1126" s="9">
        <v>7451</v>
      </c>
      <c r="R1126" s="9" t="s">
        <v>352</v>
      </c>
    </row>
    <row r="1127" spans="17:18" x14ac:dyDescent="0.15">
      <c r="Q1127" s="9">
        <v>7470</v>
      </c>
      <c r="R1127" s="9" t="s">
        <v>353</v>
      </c>
    </row>
    <row r="1128" spans="17:18" x14ac:dyDescent="0.15">
      <c r="Q1128" s="9">
        <v>7470</v>
      </c>
      <c r="R1128" s="9" t="s">
        <v>353</v>
      </c>
    </row>
    <row r="1129" spans="17:18" x14ac:dyDescent="0.15">
      <c r="Q1129" s="9">
        <v>7470</v>
      </c>
      <c r="R1129" s="9" t="s">
        <v>353</v>
      </c>
    </row>
    <row r="1130" spans="17:18" x14ac:dyDescent="0.15">
      <c r="Q1130" s="9">
        <v>7480</v>
      </c>
      <c r="R1130" s="9" t="s">
        <v>354</v>
      </c>
    </row>
    <row r="1131" spans="17:18" x14ac:dyDescent="0.15">
      <c r="Q1131" s="9">
        <v>7480</v>
      </c>
      <c r="R1131" s="9" t="s">
        <v>354</v>
      </c>
    </row>
    <row r="1132" spans="17:18" x14ac:dyDescent="0.15">
      <c r="Q1132" s="9">
        <v>7490</v>
      </c>
      <c r="R1132" s="9" t="s">
        <v>355</v>
      </c>
    </row>
    <row r="1133" spans="17:18" x14ac:dyDescent="0.15">
      <c r="Q1133" s="9">
        <v>7500</v>
      </c>
      <c r="R1133" s="9" t="s">
        <v>623</v>
      </c>
    </row>
    <row r="1134" spans="17:18" x14ac:dyDescent="0.15">
      <c r="Q1134" s="9">
        <v>7500</v>
      </c>
      <c r="R1134" s="9" t="s">
        <v>623</v>
      </c>
    </row>
    <row r="1135" spans="17:18" x14ac:dyDescent="0.15">
      <c r="Q1135" s="9">
        <v>7500</v>
      </c>
      <c r="R1135" s="9" t="s">
        <v>623</v>
      </c>
    </row>
    <row r="1136" spans="17:18" x14ac:dyDescent="0.15">
      <c r="Q1136" s="9">
        <v>7540</v>
      </c>
      <c r="R1136" s="9" t="s">
        <v>356</v>
      </c>
    </row>
    <row r="1137" spans="17:18" x14ac:dyDescent="0.15">
      <c r="Q1137" s="9">
        <v>7540</v>
      </c>
      <c r="R1137" s="9" t="s">
        <v>356</v>
      </c>
    </row>
    <row r="1138" spans="17:18" x14ac:dyDescent="0.15">
      <c r="Q1138" s="9">
        <v>7540</v>
      </c>
      <c r="R1138" s="9" t="s">
        <v>356</v>
      </c>
    </row>
    <row r="1139" spans="17:18" x14ac:dyDescent="0.15">
      <c r="Q1139" s="9">
        <v>7550</v>
      </c>
      <c r="R1139" s="9" t="s">
        <v>357</v>
      </c>
    </row>
    <row r="1140" spans="17:18" x14ac:dyDescent="0.15">
      <c r="Q1140" s="9">
        <v>7560</v>
      </c>
      <c r="R1140" s="9" t="s">
        <v>358</v>
      </c>
    </row>
    <row r="1141" spans="17:18" x14ac:dyDescent="0.15">
      <c r="Q1141" s="9">
        <v>7560</v>
      </c>
      <c r="R1141" s="9" t="s">
        <v>358</v>
      </c>
    </row>
    <row r="1142" spans="17:18" x14ac:dyDescent="0.15">
      <c r="Q1142" s="9">
        <v>7570</v>
      </c>
      <c r="R1142" s="9" t="s">
        <v>359</v>
      </c>
    </row>
    <row r="1143" spans="17:18" x14ac:dyDescent="0.15">
      <c r="Q1143" s="9">
        <v>7570</v>
      </c>
      <c r="R1143" s="9" t="s">
        <v>359</v>
      </c>
    </row>
    <row r="1144" spans="17:18" x14ac:dyDescent="0.15">
      <c r="Q1144" s="9">
        <v>7600</v>
      </c>
      <c r="R1144" s="9" t="s">
        <v>624</v>
      </c>
    </row>
    <row r="1145" spans="17:18" x14ac:dyDescent="0.15">
      <c r="Q1145" s="9">
        <v>7600</v>
      </c>
      <c r="R1145" s="9" t="s">
        <v>624</v>
      </c>
    </row>
    <row r="1146" spans="17:18" x14ac:dyDescent="0.15">
      <c r="Q1146" s="9">
        <v>7600</v>
      </c>
      <c r="R1146" s="9" t="s">
        <v>624</v>
      </c>
    </row>
    <row r="1147" spans="17:18" x14ac:dyDescent="0.15">
      <c r="Q1147" s="9">
        <v>7620</v>
      </c>
      <c r="R1147" s="9" t="s">
        <v>360</v>
      </c>
    </row>
    <row r="1148" spans="17:18" x14ac:dyDescent="0.15">
      <c r="Q1148" s="9">
        <v>7650</v>
      </c>
      <c r="R1148" s="9" t="s">
        <v>361</v>
      </c>
    </row>
    <row r="1149" spans="17:18" x14ac:dyDescent="0.15">
      <c r="Q1149" s="9">
        <v>7660</v>
      </c>
      <c r="R1149" s="9" t="s">
        <v>362</v>
      </c>
    </row>
    <row r="1150" spans="17:18" x14ac:dyDescent="0.15">
      <c r="Q1150" s="9">
        <v>7660</v>
      </c>
      <c r="R1150" s="9" t="s">
        <v>362</v>
      </c>
    </row>
    <row r="1151" spans="17:18" x14ac:dyDescent="0.15">
      <c r="Q1151" s="9">
        <v>7673</v>
      </c>
      <c r="R1151" s="9" t="s">
        <v>363</v>
      </c>
    </row>
    <row r="1152" spans="17:18" x14ac:dyDescent="0.15">
      <c r="Q1152" s="9">
        <v>7680</v>
      </c>
      <c r="R1152" s="9" t="s">
        <v>364</v>
      </c>
    </row>
    <row r="1153" spans="17:18" x14ac:dyDescent="0.15">
      <c r="Q1153" s="9">
        <v>7700</v>
      </c>
      <c r="R1153" s="9" t="s">
        <v>625</v>
      </c>
    </row>
    <row r="1154" spans="17:18" x14ac:dyDescent="0.15">
      <c r="Q1154" s="9">
        <v>7730</v>
      </c>
      <c r="R1154" s="9" t="s">
        <v>626</v>
      </c>
    </row>
    <row r="1155" spans="17:18" x14ac:dyDescent="0.15">
      <c r="Q1155" s="9">
        <v>7741</v>
      </c>
      <c r="R1155" s="9" t="s">
        <v>627</v>
      </c>
    </row>
    <row r="1156" spans="17:18" x14ac:dyDescent="0.15">
      <c r="Q1156" s="9">
        <v>7742</v>
      </c>
      <c r="R1156" s="9" t="s">
        <v>365</v>
      </c>
    </row>
    <row r="1157" spans="17:18" x14ac:dyDescent="0.15">
      <c r="Q1157" s="9">
        <v>7752</v>
      </c>
      <c r="R1157" s="9" t="s">
        <v>628</v>
      </c>
    </row>
    <row r="1158" spans="17:18" x14ac:dyDescent="0.15">
      <c r="Q1158" s="9">
        <v>7755</v>
      </c>
      <c r="R1158" s="9" t="s">
        <v>629</v>
      </c>
    </row>
    <row r="1159" spans="17:18" x14ac:dyDescent="0.15">
      <c r="Q1159" s="9">
        <v>7760</v>
      </c>
      <c r="R1159" s="9" t="s">
        <v>366</v>
      </c>
    </row>
    <row r="1160" spans="17:18" x14ac:dyDescent="0.15">
      <c r="Q1160" s="9">
        <v>7760</v>
      </c>
      <c r="R1160" s="9" t="s">
        <v>366</v>
      </c>
    </row>
    <row r="1161" spans="17:18" x14ac:dyDescent="0.15">
      <c r="Q1161" s="9">
        <v>7770</v>
      </c>
      <c r="R1161" s="9" t="s">
        <v>630</v>
      </c>
    </row>
    <row r="1162" spans="17:18" x14ac:dyDescent="0.15">
      <c r="Q1162" s="9">
        <v>7790</v>
      </c>
      <c r="R1162" s="9" t="s">
        <v>367</v>
      </c>
    </row>
    <row r="1163" spans="17:18" x14ac:dyDescent="0.15">
      <c r="Q1163" s="9">
        <v>7800</v>
      </c>
      <c r="R1163" s="9" t="s">
        <v>368</v>
      </c>
    </row>
    <row r="1164" spans="17:18" x14ac:dyDescent="0.15">
      <c r="Q1164" s="9">
        <v>7800</v>
      </c>
      <c r="R1164" s="9" t="s">
        <v>368</v>
      </c>
    </row>
    <row r="1165" spans="17:18" x14ac:dyDescent="0.15">
      <c r="Q1165" s="9">
        <v>7800</v>
      </c>
      <c r="R1165" s="9" t="s">
        <v>368</v>
      </c>
    </row>
    <row r="1166" spans="17:18" x14ac:dyDescent="0.15">
      <c r="Q1166" s="9">
        <v>7830</v>
      </c>
      <c r="R1166" s="9" t="s">
        <v>369</v>
      </c>
    </row>
    <row r="1167" spans="17:18" x14ac:dyDescent="0.15">
      <c r="Q1167" s="9">
        <v>7830</v>
      </c>
      <c r="R1167" s="9" t="s">
        <v>369</v>
      </c>
    </row>
    <row r="1168" spans="17:18" x14ac:dyDescent="0.15">
      <c r="Q1168" s="9">
        <v>7830</v>
      </c>
      <c r="R1168" s="9" t="s">
        <v>369</v>
      </c>
    </row>
    <row r="1169" spans="17:18" x14ac:dyDescent="0.15">
      <c r="Q1169" s="9">
        <v>7830</v>
      </c>
      <c r="R1169" s="9" t="s">
        <v>369</v>
      </c>
    </row>
    <row r="1170" spans="17:18" x14ac:dyDescent="0.15">
      <c r="Q1170" s="9">
        <v>7840</v>
      </c>
      <c r="R1170" s="9" t="s">
        <v>370</v>
      </c>
    </row>
    <row r="1171" spans="17:18" x14ac:dyDescent="0.15">
      <c r="Q1171" s="9">
        <v>7840</v>
      </c>
      <c r="R1171" s="9" t="s">
        <v>370</v>
      </c>
    </row>
    <row r="1172" spans="17:18" x14ac:dyDescent="0.15">
      <c r="Q1172" s="9">
        <v>7850</v>
      </c>
      <c r="R1172" s="9" t="s">
        <v>631</v>
      </c>
    </row>
    <row r="1173" spans="17:18" x14ac:dyDescent="0.15">
      <c r="Q1173" s="9">
        <v>7860</v>
      </c>
      <c r="R1173" s="9" t="s">
        <v>371</v>
      </c>
    </row>
    <row r="1174" spans="17:18" x14ac:dyDescent="0.15">
      <c r="Q1174" s="9">
        <v>7870</v>
      </c>
      <c r="R1174" s="9" t="s">
        <v>372</v>
      </c>
    </row>
    <row r="1175" spans="17:18" x14ac:dyDescent="0.15">
      <c r="Q1175" s="9">
        <v>7884</v>
      </c>
      <c r="R1175" s="9" t="s">
        <v>373</v>
      </c>
    </row>
    <row r="1176" spans="17:18" x14ac:dyDescent="0.15">
      <c r="Q1176" s="9">
        <v>7900</v>
      </c>
      <c r="R1176" s="9" t="s">
        <v>374</v>
      </c>
    </row>
    <row r="1177" spans="17:18" x14ac:dyDescent="0.15">
      <c r="Q1177" s="9">
        <v>7950</v>
      </c>
      <c r="R1177" s="9" t="s">
        <v>375</v>
      </c>
    </row>
    <row r="1178" spans="17:18" x14ac:dyDescent="0.15">
      <c r="Q1178" s="9">
        <v>7960</v>
      </c>
      <c r="R1178" s="9" t="s">
        <v>376</v>
      </c>
    </row>
    <row r="1179" spans="17:18" x14ac:dyDescent="0.15">
      <c r="Q1179" s="9">
        <v>7970</v>
      </c>
      <c r="R1179" s="9" t="s">
        <v>632</v>
      </c>
    </row>
    <row r="1180" spans="17:18" x14ac:dyDescent="0.15">
      <c r="Q1180" s="9">
        <v>7980</v>
      </c>
      <c r="R1180" s="9" t="s">
        <v>377</v>
      </c>
    </row>
    <row r="1181" spans="17:18" x14ac:dyDescent="0.15">
      <c r="Q1181" s="9">
        <v>7990</v>
      </c>
      <c r="R1181" s="9" t="s">
        <v>633</v>
      </c>
    </row>
    <row r="1182" spans="17:18" x14ac:dyDescent="0.15">
      <c r="Q1182" s="9">
        <v>8000</v>
      </c>
      <c r="R1182" s="9" t="s">
        <v>507</v>
      </c>
    </row>
    <row r="1183" spans="17:18" x14ac:dyDescent="0.15">
      <c r="Q1183" s="9">
        <v>8200</v>
      </c>
      <c r="R1183" s="9" t="s">
        <v>508</v>
      </c>
    </row>
    <row r="1184" spans="17:18" x14ac:dyDescent="0.15">
      <c r="Q1184" s="9">
        <v>8210</v>
      </c>
      <c r="R1184" s="9" t="s">
        <v>509</v>
      </c>
    </row>
    <row r="1185" spans="17:18" x14ac:dyDescent="0.15">
      <c r="Q1185" s="9">
        <v>8220</v>
      </c>
      <c r="R1185" s="9" t="s">
        <v>378</v>
      </c>
    </row>
    <row r="1186" spans="17:18" x14ac:dyDescent="0.15">
      <c r="Q1186" s="9">
        <v>8230</v>
      </c>
      <c r="R1186" s="9" t="s">
        <v>379</v>
      </c>
    </row>
    <row r="1187" spans="17:18" x14ac:dyDescent="0.15">
      <c r="Q1187" s="9">
        <v>8240</v>
      </c>
      <c r="R1187" s="9" t="s">
        <v>380</v>
      </c>
    </row>
    <row r="1188" spans="17:18" x14ac:dyDescent="0.15">
      <c r="Q1188" s="9">
        <v>8245</v>
      </c>
      <c r="R1188" s="9" t="s">
        <v>540</v>
      </c>
    </row>
    <row r="1189" spans="17:18" x14ac:dyDescent="0.15">
      <c r="Q1189" s="9">
        <v>8250</v>
      </c>
      <c r="R1189" s="9" t="s">
        <v>381</v>
      </c>
    </row>
    <row r="1190" spans="17:18" x14ac:dyDescent="0.15">
      <c r="Q1190" s="9">
        <v>8260</v>
      </c>
      <c r="R1190" s="9" t="s">
        <v>382</v>
      </c>
    </row>
    <row r="1191" spans="17:18" x14ac:dyDescent="0.15">
      <c r="Q1191" s="9">
        <v>8270</v>
      </c>
      <c r="R1191" s="9" t="s">
        <v>383</v>
      </c>
    </row>
    <row r="1192" spans="17:18" x14ac:dyDescent="0.15">
      <c r="Q1192" s="9">
        <v>8300</v>
      </c>
      <c r="R1192" s="9" t="s">
        <v>384</v>
      </c>
    </row>
    <row r="1193" spans="17:18" x14ac:dyDescent="0.15">
      <c r="Q1193" s="9">
        <v>8300</v>
      </c>
      <c r="R1193" s="9" t="s">
        <v>384</v>
      </c>
    </row>
    <row r="1194" spans="17:18" x14ac:dyDescent="0.15">
      <c r="Q1194" s="9">
        <v>8305</v>
      </c>
      <c r="R1194" s="9" t="s">
        <v>385</v>
      </c>
    </row>
    <row r="1195" spans="17:18" x14ac:dyDescent="0.15">
      <c r="Q1195" s="9">
        <v>8310</v>
      </c>
      <c r="R1195" s="9" t="s">
        <v>386</v>
      </c>
    </row>
    <row r="1196" spans="17:18" x14ac:dyDescent="0.15">
      <c r="Q1196" s="9">
        <v>8320</v>
      </c>
      <c r="R1196" s="9" t="s">
        <v>387</v>
      </c>
    </row>
    <row r="1197" spans="17:18" x14ac:dyDescent="0.15">
      <c r="Q1197" s="9">
        <v>8330</v>
      </c>
      <c r="R1197" s="9" t="s">
        <v>388</v>
      </c>
    </row>
    <row r="1198" spans="17:18" x14ac:dyDescent="0.15">
      <c r="Q1198" s="9">
        <v>8340</v>
      </c>
      <c r="R1198" s="9" t="s">
        <v>389</v>
      </c>
    </row>
    <row r="1199" spans="17:18" x14ac:dyDescent="0.15">
      <c r="Q1199" s="9">
        <v>8340</v>
      </c>
      <c r="R1199" s="9" t="s">
        <v>389</v>
      </c>
    </row>
    <row r="1200" spans="17:18" x14ac:dyDescent="0.15">
      <c r="Q1200" s="9">
        <v>8350</v>
      </c>
      <c r="R1200" s="9" t="s">
        <v>390</v>
      </c>
    </row>
    <row r="1201" spans="17:18" x14ac:dyDescent="0.15">
      <c r="Q1201" s="9">
        <v>8355</v>
      </c>
      <c r="R1201" s="9" t="s">
        <v>391</v>
      </c>
    </row>
    <row r="1202" spans="17:18" x14ac:dyDescent="0.15">
      <c r="Q1202" s="9">
        <v>8361</v>
      </c>
      <c r="R1202" s="9" t="s">
        <v>392</v>
      </c>
    </row>
    <row r="1203" spans="17:18" x14ac:dyDescent="0.15">
      <c r="Q1203" s="9">
        <v>8362</v>
      </c>
      <c r="R1203" s="9" t="s">
        <v>393</v>
      </c>
    </row>
    <row r="1204" spans="17:18" x14ac:dyDescent="0.15">
      <c r="Q1204" s="9">
        <v>8362</v>
      </c>
      <c r="R1204" s="9" t="s">
        <v>393</v>
      </c>
    </row>
    <row r="1205" spans="17:18" x14ac:dyDescent="0.15">
      <c r="Q1205" s="9">
        <v>8370</v>
      </c>
      <c r="R1205" s="9" t="s">
        <v>634</v>
      </c>
    </row>
    <row r="1206" spans="17:18" x14ac:dyDescent="0.15">
      <c r="Q1206" s="9">
        <v>8380</v>
      </c>
      <c r="R1206" s="9" t="s">
        <v>394</v>
      </c>
    </row>
    <row r="1207" spans="17:18" x14ac:dyDescent="0.15">
      <c r="Q1207" s="9">
        <v>8380</v>
      </c>
      <c r="R1207" s="9" t="s">
        <v>394</v>
      </c>
    </row>
    <row r="1208" spans="17:18" x14ac:dyDescent="0.15">
      <c r="Q1208" s="9">
        <v>8381</v>
      </c>
      <c r="R1208" s="9" t="s">
        <v>635</v>
      </c>
    </row>
    <row r="1209" spans="17:18" x14ac:dyDescent="0.15">
      <c r="Q1209" s="9">
        <v>8382</v>
      </c>
      <c r="R1209" s="9" t="s">
        <v>395</v>
      </c>
    </row>
    <row r="1210" spans="17:18" x14ac:dyDescent="0.15">
      <c r="Q1210" s="9">
        <v>8382</v>
      </c>
      <c r="R1210" s="9" t="s">
        <v>395</v>
      </c>
    </row>
    <row r="1211" spans="17:18" x14ac:dyDescent="0.15">
      <c r="Q1211" s="9">
        <v>8400</v>
      </c>
      <c r="R1211" s="9" t="s">
        <v>396</v>
      </c>
    </row>
    <row r="1212" spans="17:18" x14ac:dyDescent="0.15">
      <c r="Q1212" s="9">
        <v>8410</v>
      </c>
      <c r="R1212" s="9" t="s">
        <v>397</v>
      </c>
    </row>
    <row r="1213" spans="17:18" x14ac:dyDescent="0.15">
      <c r="Q1213" s="9">
        <v>8420</v>
      </c>
      <c r="R1213" s="9" t="s">
        <v>398</v>
      </c>
    </row>
    <row r="1214" spans="17:18" x14ac:dyDescent="0.15">
      <c r="Q1214" s="9">
        <v>8444</v>
      </c>
      <c r="R1214" s="9" t="s">
        <v>399</v>
      </c>
    </row>
    <row r="1215" spans="17:18" x14ac:dyDescent="0.15">
      <c r="Q1215" s="9">
        <v>8444</v>
      </c>
      <c r="R1215" s="9" t="s">
        <v>399</v>
      </c>
    </row>
    <row r="1216" spans="17:18" x14ac:dyDescent="0.15">
      <c r="Q1216" s="9">
        <v>8450</v>
      </c>
      <c r="R1216" s="9" t="s">
        <v>400</v>
      </c>
    </row>
    <row r="1217" spans="17:18" x14ac:dyDescent="0.15">
      <c r="Q1217" s="9">
        <v>8450</v>
      </c>
      <c r="R1217" s="9" t="s">
        <v>400</v>
      </c>
    </row>
    <row r="1218" spans="17:18" x14ac:dyDescent="0.15">
      <c r="Q1218" s="9">
        <v>8462</v>
      </c>
      <c r="R1218" s="9" t="s">
        <v>401</v>
      </c>
    </row>
    <row r="1219" spans="17:18" x14ac:dyDescent="0.15">
      <c r="Q1219" s="9">
        <v>8464</v>
      </c>
      <c r="R1219" s="9" t="s">
        <v>402</v>
      </c>
    </row>
    <row r="1220" spans="17:18" x14ac:dyDescent="0.15">
      <c r="Q1220" s="9">
        <v>8464</v>
      </c>
      <c r="R1220" s="9" t="s">
        <v>402</v>
      </c>
    </row>
    <row r="1221" spans="17:18" x14ac:dyDescent="0.15">
      <c r="Q1221" s="9">
        <v>8471</v>
      </c>
      <c r="R1221" s="9" t="s">
        <v>403</v>
      </c>
    </row>
    <row r="1222" spans="17:18" x14ac:dyDescent="0.15">
      <c r="Q1222" s="9">
        <v>8471</v>
      </c>
      <c r="R1222" s="9" t="s">
        <v>403</v>
      </c>
    </row>
    <row r="1223" spans="17:18" x14ac:dyDescent="0.15">
      <c r="Q1223" s="9">
        <v>8471</v>
      </c>
      <c r="R1223" s="9" t="s">
        <v>403</v>
      </c>
    </row>
    <row r="1224" spans="17:18" x14ac:dyDescent="0.15">
      <c r="Q1224" s="9">
        <v>8472</v>
      </c>
      <c r="R1224" s="9" t="s">
        <v>404</v>
      </c>
    </row>
    <row r="1225" spans="17:18" x14ac:dyDescent="0.15">
      <c r="Q1225" s="9">
        <v>8472</v>
      </c>
      <c r="R1225" s="9" t="s">
        <v>404</v>
      </c>
    </row>
    <row r="1226" spans="17:18" x14ac:dyDescent="0.15">
      <c r="Q1226" s="9">
        <v>8472</v>
      </c>
      <c r="R1226" s="9" t="s">
        <v>404</v>
      </c>
    </row>
    <row r="1227" spans="17:18" x14ac:dyDescent="0.15">
      <c r="Q1227" s="9">
        <v>8500</v>
      </c>
      <c r="R1227" s="9" t="s">
        <v>405</v>
      </c>
    </row>
    <row r="1228" spans="17:18" x14ac:dyDescent="0.15">
      <c r="Q1228" s="9">
        <v>8520</v>
      </c>
      <c r="R1228" s="9" t="s">
        <v>636</v>
      </c>
    </row>
    <row r="1229" spans="17:18" x14ac:dyDescent="0.15">
      <c r="Q1229" s="9">
        <v>8530</v>
      </c>
      <c r="R1229" s="9" t="s">
        <v>406</v>
      </c>
    </row>
    <row r="1230" spans="17:18" x14ac:dyDescent="0.15">
      <c r="Q1230" s="9">
        <v>8541</v>
      </c>
      <c r="R1230" s="9" t="s">
        <v>637</v>
      </c>
    </row>
    <row r="1231" spans="17:18" x14ac:dyDescent="0.15">
      <c r="Q1231" s="9">
        <v>8543</v>
      </c>
      <c r="R1231" s="9" t="s">
        <v>407</v>
      </c>
    </row>
    <row r="1232" spans="17:18" x14ac:dyDescent="0.15">
      <c r="Q1232" s="9">
        <v>8543</v>
      </c>
      <c r="R1232" s="9" t="s">
        <v>407</v>
      </c>
    </row>
    <row r="1233" spans="17:18" x14ac:dyDescent="0.15">
      <c r="Q1233" s="9">
        <v>8544</v>
      </c>
      <c r="R1233" s="9" t="s">
        <v>408</v>
      </c>
    </row>
    <row r="1234" spans="17:18" x14ac:dyDescent="0.15">
      <c r="Q1234" s="9">
        <v>8550</v>
      </c>
      <c r="R1234" s="9" t="s">
        <v>409</v>
      </c>
    </row>
    <row r="1235" spans="17:18" x14ac:dyDescent="0.15">
      <c r="Q1235" s="9">
        <v>8550</v>
      </c>
      <c r="R1235" s="9" t="s">
        <v>409</v>
      </c>
    </row>
    <row r="1236" spans="17:18" x14ac:dyDescent="0.15">
      <c r="Q1236" s="9">
        <v>8560</v>
      </c>
      <c r="R1236" s="9" t="s">
        <v>410</v>
      </c>
    </row>
    <row r="1237" spans="17:18" x14ac:dyDescent="0.15">
      <c r="Q1237" s="9">
        <v>8560</v>
      </c>
      <c r="R1237" s="9" t="s">
        <v>410</v>
      </c>
    </row>
    <row r="1238" spans="17:18" x14ac:dyDescent="0.15">
      <c r="Q1238" s="9">
        <v>8570</v>
      </c>
      <c r="R1238" s="9" t="s">
        <v>638</v>
      </c>
    </row>
    <row r="1239" spans="17:18" x14ac:dyDescent="0.15">
      <c r="Q1239" s="9">
        <v>8570</v>
      </c>
      <c r="R1239" s="9" t="s">
        <v>638</v>
      </c>
    </row>
    <row r="1240" spans="17:18" x14ac:dyDescent="0.15">
      <c r="Q1240" s="9">
        <v>8581</v>
      </c>
      <c r="R1240" s="9" t="s">
        <v>411</v>
      </c>
    </row>
    <row r="1241" spans="17:18" x14ac:dyDescent="0.15">
      <c r="Q1241" s="9">
        <v>8581</v>
      </c>
      <c r="R1241" s="9" t="s">
        <v>411</v>
      </c>
    </row>
    <row r="1242" spans="17:18" x14ac:dyDescent="0.15">
      <c r="Q1242" s="9">
        <v>8585</v>
      </c>
      <c r="R1242" s="9" t="s">
        <v>412</v>
      </c>
    </row>
    <row r="1243" spans="17:18" x14ac:dyDescent="0.15">
      <c r="Q1243" s="9">
        <v>8586</v>
      </c>
      <c r="R1243" s="9" t="s">
        <v>413</v>
      </c>
    </row>
    <row r="1244" spans="17:18" x14ac:dyDescent="0.15">
      <c r="Q1244" s="9">
        <v>8592</v>
      </c>
      <c r="R1244" s="9" t="s">
        <v>414</v>
      </c>
    </row>
    <row r="1245" spans="17:18" x14ac:dyDescent="0.15">
      <c r="Q1245" s="9">
        <v>8600</v>
      </c>
      <c r="R1245" s="9" t="s">
        <v>415</v>
      </c>
    </row>
    <row r="1246" spans="17:18" x14ac:dyDescent="0.15">
      <c r="Q1246" s="9">
        <v>8600</v>
      </c>
      <c r="R1246" s="9" t="s">
        <v>415</v>
      </c>
    </row>
    <row r="1247" spans="17:18" x14ac:dyDescent="0.15">
      <c r="Q1247" s="9">
        <v>8600</v>
      </c>
      <c r="R1247" s="9" t="s">
        <v>415</v>
      </c>
    </row>
    <row r="1248" spans="17:18" x14ac:dyDescent="0.15">
      <c r="Q1248" s="9">
        <v>8620</v>
      </c>
      <c r="R1248" s="9" t="s">
        <v>416</v>
      </c>
    </row>
    <row r="1249" spans="17:18" x14ac:dyDescent="0.15">
      <c r="Q1249" s="9">
        <v>8620</v>
      </c>
      <c r="R1249" s="9" t="s">
        <v>416</v>
      </c>
    </row>
    <row r="1250" spans="17:18" x14ac:dyDescent="0.15">
      <c r="Q1250" s="9">
        <v>8632</v>
      </c>
      <c r="R1250" s="9" t="s">
        <v>417</v>
      </c>
    </row>
    <row r="1251" spans="17:18" x14ac:dyDescent="0.15">
      <c r="Q1251" s="9">
        <v>8641</v>
      </c>
      <c r="R1251" s="9" t="s">
        <v>418</v>
      </c>
    </row>
    <row r="1252" spans="17:18" x14ac:dyDescent="0.15">
      <c r="Q1252" s="9">
        <v>8641</v>
      </c>
      <c r="R1252" s="9" t="s">
        <v>418</v>
      </c>
    </row>
    <row r="1253" spans="17:18" x14ac:dyDescent="0.15">
      <c r="Q1253" s="9">
        <v>8643</v>
      </c>
      <c r="R1253" s="9" t="s">
        <v>541</v>
      </c>
    </row>
    <row r="1254" spans="17:18" x14ac:dyDescent="0.15">
      <c r="Q1254" s="9">
        <v>8643</v>
      </c>
      <c r="R1254" s="9" t="s">
        <v>541</v>
      </c>
    </row>
    <row r="1255" spans="17:18" x14ac:dyDescent="0.15">
      <c r="Q1255" s="9">
        <v>8653</v>
      </c>
      <c r="R1255" s="9" t="s">
        <v>419</v>
      </c>
    </row>
    <row r="1256" spans="17:18" x14ac:dyDescent="0.15">
      <c r="Q1256" s="9">
        <v>8654</v>
      </c>
      <c r="R1256" s="9" t="s">
        <v>420</v>
      </c>
    </row>
    <row r="1257" spans="17:18" x14ac:dyDescent="0.15">
      <c r="Q1257" s="9">
        <v>8654</v>
      </c>
      <c r="R1257" s="9" t="s">
        <v>420</v>
      </c>
    </row>
    <row r="1258" spans="17:18" x14ac:dyDescent="0.15">
      <c r="Q1258" s="9">
        <v>8654</v>
      </c>
      <c r="R1258" s="9" t="s">
        <v>420</v>
      </c>
    </row>
    <row r="1259" spans="17:18" x14ac:dyDescent="0.15">
      <c r="Q1259" s="9">
        <v>8660</v>
      </c>
      <c r="R1259" s="9" t="s">
        <v>421</v>
      </c>
    </row>
    <row r="1260" spans="17:18" x14ac:dyDescent="0.15">
      <c r="Q1260" s="9">
        <v>8660</v>
      </c>
      <c r="R1260" s="9" t="s">
        <v>421</v>
      </c>
    </row>
    <row r="1261" spans="17:18" x14ac:dyDescent="0.15">
      <c r="Q1261" s="9">
        <v>8660</v>
      </c>
      <c r="R1261" s="9" t="s">
        <v>421</v>
      </c>
    </row>
    <row r="1262" spans="17:18" x14ac:dyDescent="0.15">
      <c r="Q1262" s="9">
        <v>8660</v>
      </c>
      <c r="R1262" s="9" t="s">
        <v>421</v>
      </c>
    </row>
    <row r="1263" spans="17:18" x14ac:dyDescent="0.15">
      <c r="Q1263" s="9">
        <v>8670</v>
      </c>
      <c r="R1263" s="9" t="s">
        <v>422</v>
      </c>
    </row>
    <row r="1264" spans="17:18" x14ac:dyDescent="0.15">
      <c r="Q1264" s="9">
        <v>8680</v>
      </c>
      <c r="R1264" s="9" t="s">
        <v>423</v>
      </c>
    </row>
    <row r="1265" spans="17:18" x14ac:dyDescent="0.15">
      <c r="Q1265" s="9">
        <v>8680</v>
      </c>
      <c r="R1265" s="9" t="s">
        <v>423</v>
      </c>
    </row>
    <row r="1266" spans="17:18" x14ac:dyDescent="0.15">
      <c r="Q1266" s="9">
        <v>8680</v>
      </c>
      <c r="R1266" s="9" t="s">
        <v>423</v>
      </c>
    </row>
    <row r="1267" spans="17:18" x14ac:dyDescent="0.15">
      <c r="Q1267" s="9">
        <v>8700</v>
      </c>
      <c r="R1267" s="9" t="s">
        <v>424</v>
      </c>
    </row>
    <row r="1268" spans="17:18" x14ac:dyDescent="0.15">
      <c r="Q1268" s="9">
        <v>8700</v>
      </c>
      <c r="R1268" s="9" t="s">
        <v>424</v>
      </c>
    </row>
    <row r="1269" spans="17:18" x14ac:dyDescent="0.15">
      <c r="Q1269" s="9">
        <v>8721</v>
      </c>
      <c r="R1269" s="9" t="s">
        <v>425</v>
      </c>
    </row>
    <row r="1270" spans="17:18" x14ac:dyDescent="0.15">
      <c r="Q1270" s="9">
        <v>8722</v>
      </c>
      <c r="R1270" s="9" t="s">
        <v>639</v>
      </c>
    </row>
    <row r="1271" spans="17:18" x14ac:dyDescent="0.15">
      <c r="Q1271" s="9">
        <v>8723</v>
      </c>
      <c r="R1271" s="9" t="s">
        <v>426</v>
      </c>
    </row>
    <row r="1272" spans="17:18" x14ac:dyDescent="0.15">
      <c r="Q1272" s="9">
        <v>8732</v>
      </c>
      <c r="R1272" s="9" t="s">
        <v>427</v>
      </c>
    </row>
    <row r="1273" spans="17:18" x14ac:dyDescent="0.15">
      <c r="Q1273" s="9">
        <v>8740</v>
      </c>
      <c r="R1273" s="9" t="s">
        <v>640</v>
      </c>
    </row>
    <row r="1274" spans="17:18" x14ac:dyDescent="0.15">
      <c r="Q1274" s="9">
        <v>8740</v>
      </c>
      <c r="R1274" s="9" t="s">
        <v>640</v>
      </c>
    </row>
    <row r="1275" spans="17:18" x14ac:dyDescent="0.15">
      <c r="Q1275" s="9">
        <v>8751</v>
      </c>
      <c r="R1275" s="9" t="s">
        <v>428</v>
      </c>
    </row>
    <row r="1276" spans="17:18" x14ac:dyDescent="0.15">
      <c r="Q1276" s="9">
        <v>8751</v>
      </c>
      <c r="R1276" s="9" t="s">
        <v>428</v>
      </c>
    </row>
    <row r="1277" spans="17:18" x14ac:dyDescent="0.15">
      <c r="Q1277" s="9">
        <v>8752</v>
      </c>
      <c r="R1277" s="9" t="s">
        <v>641</v>
      </c>
    </row>
    <row r="1278" spans="17:18" x14ac:dyDescent="0.15">
      <c r="Q1278" s="9">
        <v>8762</v>
      </c>
      <c r="R1278" s="9" t="s">
        <v>429</v>
      </c>
    </row>
    <row r="1279" spans="17:18" x14ac:dyDescent="0.15">
      <c r="Q1279" s="9">
        <v>8762</v>
      </c>
      <c r="R1279" s="9" t="s">
        <v>429</v>
      </c>
    </row>
    <row r="1280" spans="17:18" x14ac:dyDescent="0.15">
      <c r="Q1280" s="9">
        <v>8763</v>
      </c>
      <c r="R1280" s="9" t="s">
        <v>430</v>
      </c>
    </row>
    <row r="1281" spans="17:18" x14ac:dyDescent="0.15">
      <c r="Q1281" s="9">
        <v>8765</v>
      </c>
      <c r="R1281" s="9" t="s">
        <v>542</v>
      </c>
    </row>
    <row r="1282" spans="17:18" x14ac:dyDescent="0.15">
      <c r="Q1282" s="9">
        <v>8765</v>
      </c>
      <c r="R1282" s="9" t="s">
        <v>542</v>
      </c>
    </row>
    <row r="1283" spans="17:18" x14ac:dyDescent="0.15">
      <c r="Q1283" s="9">
        <v>8766</v>
      </c>
      <c r="R1283" s="9" t="s">
        <v>431</v>
      </c>
    </row>
    <row r="1284" spans="17:18" x14ac:dyDescent="0.15">
      <c r="Q1284" s="9">
        <v>8766</v>
      </c>
      <c r="R1284" s="9" t="s">
        <v>431</v>
      </c>
    </row>
    <row r="1285" spans="17:18" x14ac:dyDescent="0.15">
      <c r="Q1285" s="9">
        <v>8781</v>
      </c>
      <c r="R1285" s="9" t="s">
        <v>642</v>
      </c>
    </row>
    <row r="1286" spans="17:18" x14ac:dyDescent="0.15">
      <c r="Q1286" s="9">
        <v>8781</v>
      </c>
      <c r="R1286" s="9" t="s">
        <v>642</v>
      </c>
    </row>
    <row r="1287" spans="17:18" x14ac:dyDescent="0.15">
      <c r="Q1287" s="9">
        <v>8783</v>
      </c>
      <c r="R1287" s="9" t="s">
        <v>432</v>
      </c>
    </row>
    <row r="1288" spans="17:18" x14ac:dyDescent="0.15">
      <c r="Q1288" s="9">
        <v>8783</v>
      </c>
      <c r="R1288" s="9" t="s">
        <v>432</v>
      </c>
    </row>
    <row r="1289" spans="17:18" x14ac:dyDescent="0.15">
      <c r="Q1289" s="9">
        <v>8789</v>
      </c>
      <c r="R1289" s="9" t="s">
        <v>543</v>
      </c>
    </row>
    <row r="1290" spans="17:18" x14ac:dyDescent="0.15">
      <c r="Q1290" s="9">
        <v>8799</v>
      </c>
      <c r="R1290" s="9" t="s">
        <v>544</v>
      </c>
    </row>
    <row r="1291" spans="17:18" x14ac:dyDescent="0.15">
      <c r="Q1291" s="9">
        <v>8800</v>
      </c>
      <c r="R1291" s="9" t="s">
        <v>433</v>
      </c>
    </row>
    <row r="1292" spans="17:18" x14ac:dyDescent="0.15">
      <c r="Q1292" s="9">
        <v>8800</v>
      </c>
      <c r="R1292" s="9" t="s">
        <v>433</v>
      </c>
    </row>
    <row r="1293" spans="17:18" x14ac:dyDescent="0.15">
      <c r="Q1293" s="9">
        <v>8830</v>
      </c>
      <c r="R1293" s="9" t="s">
        <v>434</v>
      </c>
    </row>
    <row r="1294" spans="17:18" x14ac:dyDescent="0.15">
      <c r="Q1294" s="9">
        <v>8831</v>
      </c>
      <c r="R1294" s="9" t="s">
        <v>643</v>
      </c>
    </row>
    <row r="1295" spans="17:18" x14ac:dyDescent="0.15">
      <c r="Q1295" s="9">
        <v>8832</v>
      </c>
      <c r="R1295" s="9" t="s">
        <v>435</v>
      </c>
    </row>
    <row r="1296" spans="17:18" x14ac:dyDescent="0.15">
      <c r="Q1296" s="9">
        <v>8840</v>
      </c>
      <c r="R1296" s="9" t="s">
        <v>436</v>
      </c>
    </row>
    <row r="1297" spans="17:18" x14ac:dyDescent="0.15">
      <c r="Q1297" s="9">
        <v>8840</v>
      </c>
      <c r="R1297" s="9" t="s">
        <v>436</v>
      </c>
    </row>
    <row r="1298" spans="17:18" x14ac:dyDescent="0.15">
      <c r="Q1298" s="9">
        <v>8850</v>
      </c>
      <c r="R1298" s="9" t="s">
        <v>437</v>
      </c>
    </row>
    <row r="1299" spans="17:18" x14ac:dyDescent="0.15">
      <c r="Q1299" s="9">
        <v>8850</v>
      </c>
      <c r="R1299" s="9" t="s">
        <v>437</v>
      </c>
    </row>
    <row r="1300" spans="17:18" x14ac:dyDescent="0.15">
      <c r="Q1300" s="9">
        <v>8860</v>
      </c>
      <c r="R1300" s="9" t="s">
        <v>644</v>
      </c>
    </row>
    <row r="1301" spans="17:18" x14ac:dyDescent="0.15">
      <c r="Q1301" s="9">
        <v>8860</v>
      </c>
      <c r="R1301" s="9" t="s">
        <v>644</v>
      </c>
    </row>
    <row r="1302" spans="17:18" x14ac:dyDescent="0.15">
      <c r="Q1302" s="9">
        <v>8860</v>
      </c>
      <c r="R1302" s="9" t="s">
        <v>644</v>
      </c>
    </row>
    <row r="1303" spans="17:18" x14ac:dyDescent="0.15">
      <c r="Q1303" s="9">
        <v>8870</v>
      </c>
      <c r="R1303" s="9" t="s">
        <v>438</v>
      </c>
    </row>
    <row r="1304" spans="17:18" x14ac:dyDescent="0.15">
      <c r="Q1304" s="9">
        <v>8870</v>
      </c>
      <c r="R1304" s="9" t="s">
        <v>438</v>
      </c>
    </row>
    <row r="1305" spans="17:18" x14ac:dyDescent="0.15">
      <c r="Q1305" s="9">
        <v>8881</v>
      </c>
      <c r="R1305" s="9" t="s">
        <v>439</v>
      </c>
    </row>
    <row r="1306" spans="17:18" x14ac:dyDescent="0.15">
      <c r="Q1306" s="9">
        <v>8881</v>
      </c>
      <c r="R1306" s="9" t="s">
        <v>439</v>
      </c>
    </row>
    <row r="1307" spans="17:18" x14ac:dyDescent="0.15">
      <c r="Q1307" s="9">
        <v>8882</v>
      </c>
      <c r="R1307" s="9" t="s">
        <v>440</v>
      </c>
    </row>
    <row r="1308" spans="17:18" x14ac:dyDescent="0.15">
      <c r="Q1308" s="9">
        <v>8882</v>
      </c>
      <c r="R1308" s="9" t="s">
        <v>440</v>
      </c>
    </row>
    <row r="1309" spans="17:18" x14ac:dyDescent="0.15">
      <c r="Q1309" s="9">
        <v>8883</v>
      </c>
      <c r="R1309" s="9" t="s">
        <v>441</v>
      </c>
    </row>
    <row r="1310" spans="17:18" x14ac:dyDescent="0.15">
      <c r="Q1310" s="9">
        <v>8900</v>
      </c>
      <c r="R1310" s="9" t="s">
        <v>545</v>
      </c>
    </row>
    <row r="1311" spans="17:18" x14ac:dyDescent="0.15">
      <c r="Q1311" s="9">
        <v>8920</v>
      </c>
      <c r="R1311" s="9" t="s">
        <v>546</v>
      </c>
    </row>
    <row r="1312" spans="17:18" x14ac:dyDescent="0.15">
      <c r="Q1312" s="9">
        <v>8930</v>
      </c>
      <c r="R1312" s="9" t="s">
        <v>547</v>
      </c>
    </row>
    <row r="1313" spans="17:18" x14ac:dyDescent="0.15">
      <c r="Q1313" s="9">
        <v>8940</v>
      </c>
      <c r="R1313" s="9" t="s">
        <v>548</v>
      </c>
    </row>
    <row r="1314" spans="17:18" x14ac:dyDescent="0.15">
      <c r="Q1314" s="9">
        <v>8940</v>
      </c>
      <c r="R1314" s="9" t="s">
        <v>548</v>
      </c>
    </row>
    <row r="1315" spans="17:18" x14ac:dyDescent="0.15">
      <c r="Q1315" s="9">
        <v>8950</v>
      </c>
      <c r="R1315" s="9" t="s">
        <v>645</v>
      </c>
    </row>
    <row r="1316" spans="17:18" x14ac:dyDescent="0.15">
      <c r="Q1316" s="9">
        <v>8960</v>
      </c>
      <c r="R1316" s="9" t="s">
        <v>549</v>
      </c>
    </row>
    <row r="1317" spans="17:18" x14ac:dyDescent="0.15">
      <c r="Q1317" s="9">
        <v>8960</v>
      </c>
      <c r="R1317" s="9" t="s">
        <v>549</v>
      </c>
    </row>
    <row r="1318" spans="17:18" x14ac:dyDescent="0.15">
      <c r="Q1318" s="9">
        <v>8961</v>
      </c>
      <c r="R1318" s="9" t="s">
        <v>442</v>
      </c>
    </row>
    <row r="1319" spans="17:18" x14ac:dyDescent="0.15">
      <c r="Q1319" s="9">
        <v>8963</v>
      </c>
      <c r="R1319" s="9" t="s">
        <v>443</v>
      </c>
    </row>
    <row r="1320" spans="17:18" x14ac:dyDescent="0.15">
      <c r="Q1320" s="9">
        <v>8963</v>
      </c>
      <c r="R1320" s="9" t="s">
        <v>443</v>
      </c>
    </row>
    <row r="1321" spans="17:18" x14ac:dyDescent="0.15">
      <c r="Q1321" s="9">
        <v>8970</v>
      </c>
      <c r="R1321" s="9" t="s">
        <v>444</v>
      </c>
    </row>
    <row r="1322" spans="17:18" x14ac:dyDescent="0.15">
      <c r="Q1322" s="9">
        <v>8970</v>
      </c>
      <c r="R1322" s="9" t="s">
        <v>444</v>
      </c>
    </row>
    <row r="1323" spans="17:18" x14ac:dyDescent="0.15">
      <c r="Q1323" s="9">
        <v>8981</v>
      </c>
      <c r="R1323" s="9" t="s">
        <v>550</v>
      </c>
    </row>
    <row r="1324" spans="17:18" x14ac:dyDescent="0.15">
      <c r="Q1324" s="9">
        <v>8983</v>
      </c>
      <c r="R1324" s="9" t="s">
        <v>445</v>
      </c>
    </row>
    <row r="1325" spans="17:18" x14ac:dyDescent="0.15">
      <c r="Q1325" s="9">
        <v>8990</v>
      </c>
      <c r="R1325" s="9" t="s">
        <v>446</v>
      </c>
    </row>
    <row r="1326" spans="17:18" x14ac:dyDescent="0.15">
      <c r="Q1326" s="9">
        <v>8990</v>
      </c>
      <c r="R1326" s="9" t="s">
        <v>446</v>
      </c>
    </row>
    <row r="1327" spans="17:18" x14ac:dyDescent="0.15">
      <c r="Q1327" s="9">
        <v>9000</v>
      </c>
      <c r="R1327" s="9" t="s">
        <v>447</v>
      </c>
    </row>
    <row r="1328" spans="17:18" x14ac:dyDescent="0.15">
      <c r="Q1328" s="9">
        <v>9200</v>
      </c>
      <c r="R1328" s="9" t="s">
        <v>448</v>
      </c>
    </row>
    <row r="1329" spans="17:18" x14ac:dyDescent="0.15">
      <c r="Q1329" s="9">
        <v>9210</v>
      </c>
      <c r="R1329" s="9" t="s">
        <v>449</v>
      </c>
    </row>
    <row r="1330" spans="17:18" x14ac:dyDescent="0.15">
      <c r="Q1330" s="9">
        <v>9220</v>
      </c>
      <c r="R1330" s="9" t="s">
        <v>646</v>
      </c>
    </row>
    <row r="1331" spans="17:18" x14ac:dyDescent="0.15">
      <c r="Q1331" s="9">
        <v>9230</v>
      </c>
      <c r="R1331" s="9" t="s">
        <v>647</v>
      </c>
    </row>
    <row r="1332" spans="17:18" x14ac:dyDescent="0.15">
      <c r="Q1332" s="9">
        <v>9230</v>
      </c>
      <c r="R1332" s="9" t="s">
        <v>647</v>
      </c>
    </row>
    <row r="1333" spans="17:18" x14ac:dyDescent="0.15">
      <c r="Q1333" s="9">
        <v>9240</v>
      </c>
      <c r="R1333" s="9" t="s">
        <v>450</v>
      </c>
    </row>
    <row r="1334" spans="17:18" x14ac:dyDescent="0.15">
      <c r="Q1334" s="9">
        <v>9240</v>
      </c>
      <c r="R1334" s="9" t="s">
        <v>450</v>
      </c>
    </row>
    <row r="1335" spans="17:18" x14ac:dyDescent="0.15">
      <c r="Q1335" s="9">
        <v>9240</v>
      </c>
      <c r="R1335" s="9" t="s">
        <v>450</v>
      </c>
    </row>
    <row r="1336" spans="17:18" x14ac:dyDescent="0.15">
      <c r="Q1336" s="9">
        <v>9260</v>
      </c>
      <c r="R1336" s="9" t="s">
        <v>648</v>
      </c>
    </row>
    <row r="1337" spans="17:18" x14ac:dyDescent="0.15">
      <c r="Q1337" s="9">
        <v>9260</v>
      </c>
      <c r="R1337" s="9" t="s">
        <v>648</v>
      </c>
    </row>
    <row r="1338" spans="17:18" x14ac:dyDescent="0.15">
      <c r="Q1338" s="9">
        <v>9270</v>
      </c>
      <c r="R1338" s="9" t="s">
        <v>451</v>
      </c>
    </row>
    <row r="1339" spans="17:18" x14ac:dyDescent="0.15">
      <c r="Q1339" s="9">
        <v>9280</v>
      </c>
      <c r="R1339" s="9" t="s">
        <v>649</v>
      </c>
    </row>
    <row r="1340" spans="17:18" x14ac:dyDescent="0.15">
      <c r="Q1340" s="9">
        <v>9293</v>
      </c>
      <c r="R1340" s="9" t="s">
        <v>452</v>
      </c>
    </row>
    <row r="1341" spans="17:18" x14ac:dyDescent="0.15">
      <c r="Q1341" s="9">
        <v>9293</v>
      </c>
      <c r="R1341" s="9" t="s">
        <v>452</v>
      </c>
    </row>
    <row r="1342" spans="17:18" x14ac:dyDescent="0.15">
      <c r="Q1342" s="9">
        <v>9300</v>
      </c>
      <c r="R1342" s="9" t="s">
        <v>453</v>
      </c>
    </row>
    <row r="1343" spans="17:18" x14ac:dyDescent="0.15">
      <c r="Q1343" s="9">
        <v>9310</v>
      </c>
      <c r="R1343" s="9" t="s">
        <v>454</v>
      </c>
    </row>
    <row r="1344" spans="17:18" x14ac:dyDescent="0.15">
      <c r="Q1344" s="9">
        <v>9320</v>
      </c>
      <c r="R1344" s="9" t="s">
        <v>455</v>
      </c>
    </row>
    <row r="1345" spans="17:18" x14ac:dyDescent="0.15">
      <c r="Q1345" s="9">
        <v>9320</v>
      </c>
      <c r="R1345" s="9" t="s">
        <v>455</v>
      </c>
    </row>
    <row r="1346" spans="17:18" x14ac:dyDescent="0.15">
      <c r="Q1346" s="9">
        <v>9330</v>
      </c>
      <c r="R1346" s="9" t="s">
        <v>456</v>
      </c>
    </row>
    <row r="1347" spans="17:18" x14ac:dyDescent="0.15">
      <c r="Q1347" s="9">
        <v>9330</v>
      </c>
      <c r="R1347" s="9" t="s">
        <v>456</v>
      </c>
    </row>
    <row r="1348" spans="17:18" x14ac:dyDescent="0.15">
      <c r="Q1348" s="9">
        <v>9340</v>
      </c>
      <c r="R1348" s="9" t="s">
        <v>457</v>
      </c>
    </row>
    <row r="1349" spans="17:18" x14ac:dyDescent="0.15">
      <c r="Q1349" s="9">
        <v>9340</v>
      </c>
      <c r="R1349" s="9" t="s">
        <v>457</v>
      </c>
    </row>
    <row r="1350" spans="17:18" x14ac:dyDescent="0.15">
      <c r="Q1350" s="9">
        <v>9352</v>
      </c>
      <c r="R1350" s="9" t="s">
        <v>458</v>
      </c>
    </row>
    <row r="1351" spans="17:18" x14ac:dyDescent="0.15">
      <c r="Q1351" s="9">
        <v>9352</v>
      </c>
      <c r="R1351" s="9" t="s">
        <v>458</v>
      </c>
    </row>
    <row r="1352" spans="17:18" x14ac:dyDescent="0.15">
      <c r="Q1352" s="9">
        <v>9362</v>
      </c>
      <c r="R1352" s="9" t="s">
        <v>459</v>
      </c>
    </row>
    <row r="1353" spans="17:18" x14ac:dyDescent="0.15">
      <c r="Q1353" s="9">
        <v>9370</v>
      </c>
      <c r="R1353" s="9" t="s">
        <v>460</v>
      </c>
    </row>
    <row r="1354" spans="17:18" x14ac:dyDescent="0.15">
      <c r="Q1354" s="9">
        <v>9370</v>
      </c>
      <c r="R1354" s="9" t="s">
        <v>460</v>
      </c>
    </row>
    <row r="1355" spans="17:18" x14ac:dyDescent="0.15">
      <c r="Q1355" s="9">
        <v>9380</v>
      </c>
      <c r="R1355" s="9" t="s">
        <v>650</v>
      </c>
    </row>
    <row r="1356" spans="17:18" x14ac:dyDescent="0.15">
      <c r="Q1356" s="9">
        <v>9381</v>
      </c>
      <c r="R1356" s="9" t="s">
        <v>651</v>
      </c>
    </row>
    <row r="1357" spans="17:18" x14ac:dyDescent="0.15">
      <c r="Q1357" s="9">
        <v>9381</v>
      </c>
      <c r="R1357" s="9" t="s">
        <v>651</v>
      </c>
    </row>
    <row r="1358" spans="17:18" x14ac:dyDescent="0.15">
      <c r="Q1358" s="9">
        <v>9382</v>
      </c>
      <c r="R1358" s="9" t="s">
        <v>652</v>
      </c>
    </row>
    <row r="1359" spans="17:18" x14ac:dyDescent="0.15">
      <c r="Q1359" s="9">
        <v>9382</v>
      </c>
      <c r="R1359" s="9" t="s">
        <v>652</v>
      </c>
    </row>
    <row r="1360" spans="17:18" x14ac:dyDescent="0.15">
      <c r="Q1360" s="9">
        <v>9382</v>
      </c>
      <c r="R1360" s="9" t="s">
        <v>652</v>
      </c>
    </row>
    <row r="1361" spans="17:18" x14ac:dyDescent="0.15">
      <c r="Q1361" s="9">
        <v>9400</v>
      </c>
      <c r="R1361" s="9" t="s">
        <v>461</v>
      </c>
    </row>
    <row r="1362" spans="17:18" x14ac:dyDescent="0.15">
      <c r="Q1362" s="9">
        <v>9430</v>
      </c>
      <c r="R1362" s="9" t="s">
        <v>462</v>
      </c>
    </row>
    <row r="1363" spans="17:18" x14ac:dyDescent="0.15">
      <c r="Q1363" s="9">
        <v>9430</v>
      </c>
      <c r="R1363" s="9" t="s">
        <v>462</v>
      </c>
    </row>
    <row r="1364" spans="17:18" x14ac:dyDescent="0.15">
      <c r="Q1364" s="9">
        <v>9440</v>
      </c>
      <c r="R1364" s="9" t="s">
        <v>463</v>
      </c>
    </row>
    <row r="1365" spans="17:18" x14ac:dyDescent="0.15">
      <c r="Q1365" s="9">
        <v>9440</v>
      </c>
      <c r="R1365" s="9" t="s">
        <v>463</v>
      </c>
    </row>
    <row r="1366" spans="17:18" x14ac:dyDescent="0.15">
      <c r="Q1366" s="9">
        <v>9440</v>
      </c>
      <c r="R1366" s="9" t="s">
        <v>463</v>
      </c>
    </row>
    <row r="1367" spans="17:18" x14ac:dyDescent="0.15">
      <c r="Q1367" s="9">
        <v>9460</v>
      </c>
      <c r="R1367" s="9" t="s">
        <v>653</v>
      </c>
    </row>
    <row r="1368" spans="17:18" x14ac:dyDescent="0.15">
      <c r="Q1368" s="9">
        <v>9480</v>
      </c>
      <c r="R1368" s="9" t="s">
        <v>464</v>
      </c>
    </row>
    <row r="1369" spans="17:18" x14ac:dyDescent="0.15">
      <c r="Q1369" s="9">
        <v>9480</v>
      </c>
      <c r="R1369" s="9" t="s">
        <v>464</v>
      </c>
    </row>
    <row r="1370" spans="17:18" x14ac:dyDescent="0.15">
      <c r="Q1370" s="9">
        <v>9480</v>
      </c>
      <c r="R1370" s="9" t="s">
        <v>464</v>
      </c>
    </row>
    <row r="1371" spans="17:18" x14ac:dyDescent="0.15">
      <c r="Q1371" s="9">
        <v>9490</v>
      </c>
      <c r="R1371" s="9" t="s">
        <v>465</v>
      </c>
    </row>
    <row r="1372" spans="17:18" x14ac:dyDescent="0.15">
      <c r="Q1372" s="9">
        <v>9492</v>
      </c>
      <c r="R1372" s="9" t="s">
        <v>466</v>
      </c>
    </row>
    <row r="1373" spans="17:18" x14ac:dyDescent="0.15">
      <c r="Q1373" s="9">
        <v>9493</v>
      </c>
      <c r="R1373" s="9" t="s">
        <v>467</v>
      </c>
    </row>
    <row r="1374" spans="17:18" x14ac:dyDescent="0.15">
      <c r="Q1374" s="9">
        <v>9500</v>
      </c>
      <c r="R1374" s="9" t="s">
        <v>468</v>
      </c>
    </row>
    <row r="1375" spans="17:18" x14ac:dyDescent="0.15">
      <c r="Q1375" s="9">
        <v>9500</v>
      </c>
      <c r="R1375" s="9" t="s">
        <v>468</v>
      </c>
    </row>
    <row r="1376" spans="17:18" x14ac:dyDescent="0.15">
      <c r="Q1376" s="9">
        <v>9500</v>
      </c>
      <c r="R1376" s="9" t="s">
        <v>468</v>
      </c>
    </row>
    <row r="1377" spans="17:18" x14ac:dyDescent="0.15">
      <c r="Q1377" s="9">
        <v>9510</v>
      </c>
      <c r="R1377" s="9" t="s">
        <v>469</v>
      </c>
    </row>
    <row r="1378" spans="17:18" x14ac:dyDescent="0.15">
      <c r="Q1378" s="9">
        <v>9510</v>
      </c>
      <c r="R1378" s="9" t="s">
        <v>469</v>
      </c>
    </row>
    <row r="1379" spans="17:18" x14ac:dyDescent="0.15">
      <c r="Q1379" s="9">
        <v>9520</v>
      </c>
      <c r="R1379" s="9" t="s">
        <v>470</v>
      </c>
    </row>
    <row r="1380" spans="17:18" x14ac:dyDescent="0.15">
      <c r="Q1380" s="9">
        <v>9530</v>
      </c>
      <c r="R1380" s="9" t="s">
        <v>654</v>
      </c>
    </row>
    <row r="1381" spans="17:18" x14ac:dyDescent="0.15">
      <c r="Q1381" s="9">
        <v>9530</v>
      </c>
      <c r="R1381" s="9" t="s">
        <v>654</v>
      </c>
    </row>
    <row r="1382" spans="17:18" x14ac:dyDescent="0.15">
      <c r="Q1382" s="9">
        <v>9541</v>
      </c>
      <c r="R1382" s="9" t="s">
        <v>471</v>
      </c>
    </row>
    <row r="1383" spans="17:18" x14ac:dyDescent="0.15">
      <c r="Q1383" s="9">
        <v>9541</v>
      </c>
      <c r="R1383" s="9" t="s">
        <v>471</v>
      </c>
    </row>
    <row r="1384" spans="17:18" x14ac:dyDescent="0.15">
      <c r="Q1384" s="9">
        <v>9550</v>
      </c>
      <c r="R1384" s="9" t="s">
        <v>472</v>
      </c>
    </row>
    <row r="1385" spans="17:18" x14ac:dyDescent="0.15">
      <c r="Q1385" s="9">
        <v>9550</v>
      </c>
      <c r="R1385" s="9" t="s">
        <v>472</v>
      </c>
    </row>
    <row r="1386" spans="17:18" x14ac:dyDescent="0.15">
      <c r="Q1386" s="9">
        <v>9560</v>
      </c>
      <c r="R1386" s="9" t="s">
        <v>473</v>
      </c>
    </row>
    <row r="1387" spans="17:18" x14ac:dyDescent="0.15">
      <c r="Q1387" s="9">
        <v>9560</v>
      </c>
      <c r="R1387" s="9" t="s">
        <v>473</v>
      </c>
    </row>
    <row r="1388" spans="17:18" x14ac:dyDescent="0.15">
      <c r="Q1388" s="9">
        <v>9574</v>
      </c>
      <c r="R1388" s="9" t="s">
        <v>474</v>
      </c>
    </row>
    <row r="1389" spans="17:18" x14ac:dyDescent="0.15">
      <c r="Q1389" s="9">
        <v>9575</v>
      </c>
      <c r="R1389" s="9" t="s">
        <v>475</v>
      </c>
    </row>
    <row r="1390" spans="17:18" x14ac:dyDescent="0.15">
      <c r="Q1390" s="9">
        <v>9600</v>
      </c>
      <c r="R1390" s="9" t="s">
        <v>476</v>
      </c>
    </row>
    <row r="1391" spans="17:18" x14ac:dyDescent="0.15">
      <c r="Q1391" s="9">
        <v>9600</v>
      </c>
      <c r="R1391" s="9" t="s">
        <v>476</v>
      </c>
    </row>
    <row r="1392" spans="17:18" x14ac:dyDescent="0.15">
      <c r="Q1392" s="9">
        <v>9610</v>
      </c>
      <c r="R1392" s="9" t="s">
        <v>477</v>
      </c>
    </row>
    <row r="1393" spans="17:18" x14ac:dyDescent="0.15">
      <c r="Q1393" s="9">
        <v>9610</v>
      </c>
      <c r="R1393" s="9" t="s">
        <v>477</v>
      </c>
    </row>
    <row r="1394" spans="17:18" x14ac:dyDescent="0.15">
      <c r="Q1394" s="9">
        <v>9620</v>
      </c>
      <c r="R1394" s="9" t="s">
        <v>655</v>
      </c>
    </row>
    <row r="1395" spans="17:18" x14ac:dyDescent="0.15">
      <c r="Q1395" s="9">
        <v>9620</v>
      </c>
      <c r="R1395" s="9" t="s">
        <v>655</v>
      </c>
    </row>
    <row r="1396" spans="17:18" x14ac:dyDescent="0.15">
      <c r="Q1396" s="9">
        <v>9620</v>
      </c>
      <c r="R1396" s="9" t="s">
        <v>655</v>
      </c>
    </row>
    <row r="1397" spans="17:18" x14ac:dyDescent="0.15">
      <c r="Q1397" s="9">
        <v>9620</v>
      </c>
      <c r="R1397" s="9" t="s">
        <v>655</v>
      </c>
    </row>
    <row r="1398" spans="17:18" x14ac:dyDescent="0.15">
      <c r="Q1398" s="9">
        <v>9631</v>
      </c>
      <c r="R1398" s="9" t="s">
        <v>656</v>
      </c>
    </row>
    <row r="1399" spans="17:18" x14ac:dyDescent="0.15">
      <c r="Q1399" s="9">
        <v>9631</v>
      </c>
      <c r="R1399" s="9" t="s">
        <v>656</v>
      </c>
    </row>
    <row r="1400" spans="17:18" x14ac:dyDescent="0.15">
      <c r="Q1400" s="9">
        <v>9632</v>
      </c>
      <c r="R1400" s="9" t="s">
        <v>478</v>
      </c>
    </row>
    <row r="1401" spans="17:18" x14ac:dyDescent="0.15">
      <c r="Q1401" s="9">
        <v>9632</v>
      </c>
      <c r="R1401" s="9" t="s">
        <v>478</v>
      </c>
    </row>
    <row r="1402" spans="17:18" x14ac:dyDescent="0.15">
      <c r="Q1402" s="9">
        <v>9640</v>
      </c>
      <c r="R1402" s="9" t="s">
        <v>479</v>
      </c>
    </row>
    <row r="1403" spans="17:18" x14ac:dyDescent="0.15">
      <c r="Q1403" s="9">
        <v>9670</v>
      </c>
      <c r="R1403" s="9" t="s">
        <v>657</v>
      </c>
    </row>
    <row r="1404" spans="17:18" x14ac:dyDescent="0.15">
      <c r="Q1404" s="9">
        <v>9670</v>
      </c>
      <c r="R1404" s="9" t="s">
        <v>657</v>
      </c>
    </row>
    <row r="1405" spans="17:18" x14ac:dyDescent="0.15">
      <c r="Q1405" s="9">
        <v>9681</v>
      </c>
      <c r="R1405" s="9" t="s">
        <v>480</v>
      </c>
    </row>
    <row r="1406" spans="17:18" x14ac:dyDescent="0.15">
      <c r="Q1406" s="9">
        <v>9690</v>
      </c>
      <c r="R1406" s="9" t="s">
        <v>481</v>
      </c>
    </row>
    <row r="1407" spans="17:18" x14ac:dyDescent="0.15">
      <c r="Q1407" s="9">
        <v>9700</v>
      </c>
      <c r="R1407" s="9" t="s">
        <v>482</v>
      </c>
    </row>
    <row r="1408" spans="17:18" x14ac:dyDescent="0.15">
      <c r="Q1408" s="9">
        <v>9700</v>
      </c>
      <c r="R1408" s="9" t="s">
        <v>482</v>
      </c>
    </row>
    <row r="1409" spans="17:18" x14ac:dyDescent="0.15">
      <c r="Q1409" s="9">
        <v>9740</v>
      </c>
      <c r="R1409" s="9" t="s">
        <v>483</v>
      </c>
    </row>
    <row r="1410" spans="17:18" x14ac:dyDescent="0.15">
      <c r="Q1410" s="9">
        <v>9740</v>
      </c>
      <c r="R1410" s="9" t="s">
        <v>483</v>
      </c>
    </row>
    <row r="1411" spans="17:18" x14ac:dyDescent="0.15">
      <c r="Q1411" s="9">
        <v>9750</v>
      </c>
      <c r="R1411" s="9" t="s">
        <v>658</v>
      </c>
    </row>
    <row r="1412" spans="17:18" x14ac:dyDescent="0.15">
      <c r="Q1412" s="9">
        <v>9750</v>
      </c>
      <c r="R1412" s="9" t="s">
        <v>658</v>
      </c>
    </row>
    <row r="1413" spans="17:18" x14ac:dyDescent="0.15">
      <c r="Q1413" s="9">
        <v>9750</v>
      </c>
      <c r="R1413" s="9" t="s">
        <v>658</v>
      </c>
    </row>
    <row r="1414" spans="17:18" x14ac:dyDescent="0.15">
      <c r="Q1414" s="9">
        <v>9760</v>
      </c>
      <c r="R1414" s="9" t="s">
        <v>484</v>
      </c>
    </row>
    <row r="1415" spans="17:18" x14ac:dyDescent="0.15">
      <c r="Q1415" s="9">
        <v>9760</v>
      </c>
      <c r="R1415" s="9" t="s">
        <v>484</v>
      </c>
    </row>
    <row r="1416" spans="17:18" x14ac:dyDescent="0.15">
      <c r="Q1416" s="9">
        <v>9800</v>
      </c>
      <c r="R1416" s="9" t="s">
        <v>485</v>
      </c>
    </row>
    <row r="1417" spans="17:18" x14ac:dyDescent="0.15">
      <c r="Q1417" s="9">
        <v>9830</v>
      </c>
      <c r="R1417" s="9" t="s">
        <v>486</v>
      </c>
    </row>
    <row r="1418" spans="17:18" x14ac:dyDescent="0.15">
      <c r="Q1418" s="9">
        <v>9830</v>
      </c>
      <c r="R1418" s="9" t="s">
        <v>486</v>
      </c>
    </row>
    <row r="1419" spans="17:18" x14ac:dyDescent="0.15">
      <c r="Q1419" s="9">
        <v>9850</v>
      </c>
      <c r="R1419" s="9" t="s">
        <v>487</v>
      </c>
    </row>
    <row r="1420" spans="17:18" x14ac:dyDescent="0.15">
      <c r="Q1420" s="9">
        <v>9870</v>
      </c>
      <c r="R1420" s="9" t="s">
        <v>488</v>
      </c>
    </row>
    <row r="1421" spans="17:18" x14ac:dyDescent="0.15">
      <c r="Q1421" s="9">
        <v>9870</v>
      </c>
      <c r="R1421" s="9" t="s">
        <v>488</v>
      </c>
    </row>
    <row r="1422" spans="17:18" x14ac:dyDescent="0.15">
      <c r="Q1422" s="9">
        <v>9881</v>
      </c>
      <c r="R1422" s="9" t="s">
        <v>489</v>
      </c>
    </row>
    <row r="1423" spans="17:18" x14ac:dyDescent="0.15">
      <c r="Q1423" s="9">
        <v>9881</v>
      </c>
      <c r="R1423" s="9" t="s">
        <v>489</v>
      </c>
    </row>
    <row r="1424" spans="17:18" x14ac:dyDescent="0.15">
      <c r="Q1424" s="9">
        <v>9900</v>
      </c>
      <c r="R1424" s="9" t="s">
        <v>490</v>
      </c>
    </row>
    <row r="1425" spans="17:18" x14ac:dyDescent="0.15">
      <c r="Q1425" s="9">
        <v>9900</v>
      </c>
      <c r="R1425" s="9" t="s">
        <v>490</v>
      </c>
    </row>
    <row r="1426" spans="17:18" x14ac:dyDescent="0.15">
      <c r="Q1426" s="9">
        <v>9940</v>
      </c>
      <c r="R1426" s="9" t="s">
        <v>491</v>
      </c>
    </row>
    <row r="1427" spans="17:18" x14ac:dyDescent="0.15">
      <c r="Q1427" s="9">
        <v>9970</v>
      </c>
      <c r="R1427" s="9" t="s">
        <v>659</v>
      </c>
    </row>
    <row r="1428" spans="17:18" x14ac:dyDescent="0.15">
      <c r="Q1428" s="9">
        <v>9981</v>
      </c>
      <c r="R1428" s="9" t="s">
        <v>492</v>
      </c>
    </row>
    <row r="1429" spans="17:18" x14ac:dyDescent="0.15">
      <c r="Q1429" s="9">
        <v>9982</v>
      </c>
      <c r="R1429" s="9" t="s">
        <v>493</v>
      </c>
    </row>
    <row r="1430" spans="17:18" x14ac:dyDescent="0.15">
      <c r="Q1430" s="9">
        <v>9982</v>
      </c>
      <c r="R1430" s="9" t="s">
        <v>493</v>
      </c>
    </row>
    <row r="1431" spans="17:18" x14ac:dyDescent="0.15">
      <c r="Q1431" s="9">
        <v>9990</v>
      </c>
      <c r="R1431" s="9" t="s">
        <v>494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�� 
</file>

<file path=customXml/item3.xml>�� 
</file>

<file path=customXml/item4.xml>�� 
</file>

<file path=customXml/itemProps1.xml><?xml version="1.0" encoding="utf-8"?>
<ds:datastoreItem xmlns:ds="http://schemas.openxmlformats.org/officeDocument/2006/customXml" ds:itemID="{5A69444D-8FED-4EEF-B39B-313CFC40F79B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AE8E51DC-9595-4F4E-A90C-55C2D104E383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5F5FA7DE-0C94-4750-A639-9E6499E1C678}">
  <ds:schemaRefs>
    <ds:schemaRef ds:uri="http://www.w3.org/2001/XMLSchema"/>
    <ds:schemaRef ds:uri="http://microsoft.data.visualization.Client.Excel/1.0"/>
  </ds:schemaRefs>
</ds:datastoreItem>
</file>

<file path=customXml/itemProps4.xml><?xml version="1.0" encoding="utf-8"?>
<ds:datastoreItem xmlns:ds="http://schemas.openxmlformats.org/officeDocument/2006/customXml" ds:itemID="{907D36D2-CF8A-40AF-A355-DDEB19206FFC}">
  <ds:schemaRefs>
    <ds:schemaRef ds:uri="http://www.w3.org/2001/XMLSchema"/>
    <ds:schemaRef ds:uri="http://microsoft.data.visualization.Client.Excel.LState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Leje Comps Data</vt:lpstr>
      <vt:lpstr>Boliga</vt:lpstr>
      <vt:lpstr>BoligaOut</vt:lpstr>
      <vt:lpstr>AutoText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Knakkergaard</dc:creator>
  <cp:lastModifiedBy>Andreas Mouritsen</cp:lastModifiedBy>
  <cp:lastPrinted>2020-02-21T13:18:24Z</cp:lastPrinted>
  <dcterms:created xsi:type="dcterms:W3CDTF">2018-08-23T12:54:25Z</dcterms:created>
  <dcterms:modified xsi:type="dcterms:W3CDTF">2021-09-14T21:19:55Z</dcterms:modified>
</cp:coreProperties>
</file>